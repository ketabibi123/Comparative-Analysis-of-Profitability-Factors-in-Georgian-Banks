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drawings/drawing8.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drawings/drawing9.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drawings/drawing10.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3.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harts/chart11.xml" ContentType="application/vnd.openxmlformats-officedocument.drawingml.chart+xml"/>
  <Override PartName="/xl/drawings/drawing14.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https://d.docs.live.net/e3c7102a68b108a1/Desktop/thesis/"/>
    </mc:Choice>
  </mc:AlternateContent>
  <xr:revisionPtr revIDLastSave="29" documentId="11_F25DC773A252ABDACC10482C299D405C5ADE58EC" xr6:coauthVersionLast="47" xr6:coauthVersionMax="47" xr10:uidLastSave="{2E10F4F2-645E-4C93-B3A7-6C51DF99726E}"/>
  <bookViews>
    <workbookView xWindow="-120" yWindow="-120" windowWidth="20730" windowHeight="11040" firstSheet="11" activeTab="12" xr2:uid="{00000000-000D-0000-FFFF-FFFF00000000}"/>
  </bookViews>
  <sheets>
    <sheet name="Raw_Data" sheetId="1" r:id="rId1"/>
    <sheet name="Net Profit Growth" sheetId="30" r:id="rId2"/>
    <sheet name="Calculated_Ratios" sheetId="2" r:id="rId3"/>
    <sheet name="Industry Benchmark Analysis" sheetId="3" r:id="rId4"/>
    <sheet name="ROA Trend" sheetId="5" state="hidden" r:id="rId5"/>
    <sheet name="Benchmark Difference Table" sheetId="19" r:id="rId6"/>
    <sheet name="Industry Comparison Charts" sheetId="21" r:id="rId7"/>
    <sheet name="Economic Phase Analysis" sheetId="20" r:id="rId8"/>
    <sheet name="Sheet2" sheetId="31" r:id="rId9"/>
    <sheet name="Covid Resilience" sheetId="24" r:id="rId10"/>
    <sheet name="Correlation Analysis" sheetId="25" r:id="rId11"/>
    <sheet name="Key Findings" sheetId="22" r:id="rId12"/>
    <sheet name="Conclusions" sheetId="23" r:id="rId13"/>
    <sheet name="ROE Trend" sheetId="7" state="hidden" r:id="rId14"/>
    <sheet name="NIM_approx Trend" sheetId="8" state="hidden" r:id="rId15"/>
    <sheet name="CIR_Trend" sheetId="9" state="hidden" r:id="rId16"/>
    <sheet name="NPL Ratio Trend" sheetId="10" state="hidden" r:id="rId17"/>
    <sheet name="Loan-to-Asset Ratio Trend" sheetId="11" state="hidden" r:id="rId18"/>
    <sheet name="Equity Multiplier Trend" sheetId="14" state="hidden" r:id="rId19"/>
  </sheets>
  <calcPr calcId="191029" iterateDelta="1E-4"/>
  <pivotCaches>
    <pivotCache cacheId="0" r:id="rId20"/>
    <pivotCache cacheId="1" r:id="rId21"/>
    <pivotCache cacheId="2" r:id="rId22"/>
    <pivotCache cacheId="3" r:id="rId2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4" i="2" l="1"/>
  <c r="H2" i="2"/>
  <c r="H3" i="2"/>
  <c r="H4" i="2"/>
  <c r="C13" i="25" s="1"/>
  <c r="H5" i="2"/>
  <c r="H6" i="2"/>
  <c r="H7" i="2"/>
  <c r="H8" i="2"/>
  <c r="E48" i="20" s="1"/>
  <c r="H9" i="2"/>
  <c r="H10" i="2"/>
  <c r="B49" i="20" s="1"/>
  <c r="H11" i="2"/>
  <c r="H12" i="2"/>
  <c r="G5" i="3" s="1"/>
  <c r="H13" i="2"/>
  <c r="H14" i="2"/>
  <c r="H15" i="2"/>
  <c r="H16" i="2"/>
  <c r="G4" i="22" s="1"/>
  <c r="H17" i="2"/>
  <c r="H18" i="2"/>
  <c r="H19" i="2"/>
  <c r="H20" i="2"/>
  <c r="D50" i="20" s="1"/>
  <c r="H21" i="2"/>
  <c r="H22" i="2"/>
  <c r="E50" i="20" s="1"/>
  <c r="H23" i="2"/>
  <c r="H24" i="2"/>
  <c r="G5" i="22" s="1"/>
  <c r="H25" i="2"/>
  <c r="H26" i="2"/>
  <c r="H27" i="2"/>
  <c r="H28" i="2"/>
  <c r="E51" i="20" s="1"/>
  <c r="H29" i="2"/>
  <c r="H30" i="2"/>
  <c r="F52" i="20" s="1"/>
  <c r="H31" i="2"/>
  <c r="H32" i="2"/>
  <c r="C52" i="20" s="1"/>
  <c r="H33" i="2"/>
  <c r="H34" i="2"/>
  <c r="H35" i="2"/>
  <c r="H36" i="2"/>
  <c r="G6" i="3"/>
  <c r="F49" i="20"/>
  <c r="E49" i="20"/>
  <c r="C50" i="20"/>
  <c r="F51" i="20"/>
  <c r="G6" i="22"/>
  <c r="E52" i="20"/>
  <c r="C14" i="25"/>
  <c r="C12" i="25"/>
  <c r="C11" i="25"/>
  <c r="C10" i="25"/>
  <c r="B14" i="25"/>
  <c r="B12" i="25"/>
  <c r="B11" i="25"/>
  <c r="B10" i="25"/>
  <c r="C6" i="25"/>
  <c r="B6" i="25"/>
  <c r="C4" i="25"/>
  <c r="B4" i="25"/>
  <c r="C3" i="25"/>
  <c r="B3" i="25"/>
  <c r="C2" i="25"/>
  <c r="B2" i="25"/>
  <c r="G16" i="24"/>
  <c r="E16" i="24"/>
  <c r="C16" i="24"/>
  <c r="B16" i="24"/>
  <c r="F16" i="24" s="1"/>
  <c r="G15" i="24"/>
  <c r="E15" i="24"/>
  <c r="C15" i="24"/>
  <c r="B15" i="24"/>
  <c r="F15" i="24" s="1"/>
  <c r="G14" i="24"/>
  <c r="E14" i="24"/>
  <c r="C14" i="24"/>
  <c r="B14" i="24"/>
  <c r="F14" i="24" s="1"/>
  <c r="G13" i="24"/>
  <c r="E13" i="24"/>
  <c r="C13" i="24"/>
  <c r="B13" i="24"/>
  <c r="F13" i="24" s="1"/>
  <c r="G12" i="24"/>
  <c r="E12" i="24"/>
  <c r="C12" i="24"/>
  <c r="B12" i="24"/>
  <c r="F12" i="24" s="1"/>
  <c r="G4" i="24"/>
  <c r="G5" i="24"/>
  <c r="G6" i="24"/>
  <c r="G7" i="24"/>
  <c r="G3" i="24"/>
  <c r="E3" i="24"/>
  <c r="F4" i="24"/>
  <c r="F5" i="24"/>
  <c r="F6" i="24"/>
  <c r="F7" i="24"/>
  <c r="F3" i="24"/>
  <c r="E4" i="24"/>
  <c r="E5" i="24"/>
  <c r="E6" i="24"/>
  <c r="E7" i="24"/>
  <c r="C3" i="24"/>
  <c r="D3" i="24" s="1"/>
  <c r="D4" i="24"/>
  <c r="D5" i="24"/>
  <c r="D6" i="24"/>
  <c r="D7" i="24"/>
  <c r="C4" i="24"/>
  <c r="C5" i="24"/>
  <c r="C6" i="24"/>
  <c r="C7" i="24"/>
  <c r="B4" i="24"/>
  <c r="B5" i="24"/>
  <c r="B6" i="24"/>
  <c r="B7" i="24"/>
  <c r="B3" i="24"/>
  <c r="C6" i="22"/>
  <c r="C37" i="22" s="1"/>
  <c r="D6" i="22"/>
  <c r="D37" i="22" s="1"/>
  <c r="E6" i="22"/>
  <c r="E37" i="22" s="1"/>
  <c r="F6" i="22"/>
  <c r="F37" i="22" s="1"/>
  <c r="H6" i="22"/>
  <c r="B6" i="22"/>
  <c r="B37" i="22" s="1"/>
  <c r="C5" i="22"/>
  <c r="C36" i="22" s="1"/>
  <c r="D5" i="22"/>
  <c r="E5" i="22"/>
  <c r="E36" i="22" s="1"/>
  <c r="F5" i="22"/>
  <c r="H5" i="22"/>
  <c r="B5" i="22"/>
  <c r="C4" i="22"/>
  <c r="C35" i="22" s="1"/>
  <c r="D4" i="22"/>
  <c r="D35" i="22" s="1"/>
  <c r="E4" i="22"/>
  <c r="E35" i="22" s="1"/>
  <c r="F4" i="22"/>
  <c r="F35" i="22" s="1"/>
  <c r="H4" i="22"/>
  <c r="B4" i="22"/>
  <c r="B35" i="22" s="1"/>
  <c r="C3" i="22"/>
  <c r="C34" i="22" s="1"/>
  <c r="D3" i="22"/>
  <c r="E3" i="22"/>
  <c r="E34" i="22" s="1"/>
  <c r="F3" i="22"/>
  <c r="G3" i="22"/>
  <c r="H3" i="22"/>
  <c r="B3" i="22"/>
  <c r="B34" i="22" s="1"/>
  <c r="C2" i="22"/>
  <c r="C33" i="22" s="1"/>
  <c r="D2" i="22"/>
  <c r="D34" i="22" s="1"/>
  <c r="E2" i="22"/>
  <c r="E33" i="22" s="1"/>
  <c r="F2" i="22"/>
  <c r="F34" i="22" s="1"/>
  <c r="H2" i="22"/>
  <c r="B2" i="22"/>
  <c r="B36" i="22" s="1"/>
  <c r="F62" i="20"/>
  <c r="F61" i="20"/>
  <c r="F60" i="20"/>
  <c r="F59" i="20"/>
  <c r="F58" i="20"/>
  <c r="F57" i="20"/>
  <c r="F44" i="20"/>
  <c r="F50" i="20"/>
  <c r="F39" i="20"/>
  <c r="F43" i="20"/>
  <c r="F42" i="20"/>
  <c r="F41" i="20"/>
  <c r="F40" i="20"/>
  <c r="F30" i="20"/>
  <c r="F34" i="20"/>
  <c r="F33" i="20"/>
  <c r="F32" i="20"/>
  <c r="F31" i="20"/>
  <c r="F26" i="20"/>
  <c r="F25" i="20"/>
  <c r="F24" i="20"/>
  <c r="F23" i="20"/>
  <c r="F22" i="20"/>
  <c r="F21" i="20"/>
  <c r="F12" i="20"/>
  <c r="F16" i="20"/>
  <c r="F15" i="20"/>
  <c r="F14" i="20"/>
  <c r="F13" i="20"/>
  <c r="F8" i="20"/>
  <c r="F7" i="20"/>
  <c r="F6" i="20"/>
  <c r="F5" i="20"/>
  <c r="F4" i="20"/>
  <c r="F3" i="20"/>
  <c r="E62" i="20"/>
  <c r="D62" i="20"/>
  <c r="C62" i="20"/>
  <c r="B62" i="20"/>
  <c r="E61" i="20"/>
  <c r="D61" i="20"/>
  <c r="C61" i="20"/>
  <c r="B61" i="20"/>
  <c r="E60" i="20"/>
  <c r="D60" i="20"/>
  <c r="C60" i="20"/>
  <c r="B60" i="20"/>
  <c r="E59" i="20"/>
  <c r="D59" i="20"/>
  <c r="C59" i="20"/>
  <c r="B59" i="20"/>
  <c r="E58" i="20"/>
  <c r="D58" i="20"/>
  <c r="C58" i="20"/>
  <c r="B58" i="20"/>
  <c r="E57" i="20"/>
  <c r="D57" i="20"/>
  <c r="C57" i="20"/>
  <c r="B57" i="20"/>
  <c r="D52" i="20"/>
  <c r="D51" i="20"/>
  <c r="C51" i="20"/>
  <c r="B51" i="20"/>
  <c r="B50" i="20"/>
  <c r="C49" i="20"/>
  <c r="D48" i="20"/>
  <c r="B48" i="20"/>
  <c r="E44" i="20"/>
  <c r="D44" i="20"/>
  <c r="C44" i="20"/>
  <c r="B44" i="20"/>
  <c r="E43" i="20"/>
  <c r="D43" i="20"/>
  <c r="C43" i="20"/>
  <c r="B43" i="20"/>
  <c r="E42" i="20"/>
  <c r="D42" i="20"/>
  <c r="C42" i="20"/>
  <c r="B42" i="20"/>
  <c r="E41" i="20"/>
  <c r="D41" i="20"/>
  <c r="C41" i="20"/>
  <c r="B41" i="20"/>
  <c r="E40" i="20"/>
  <c r="D40" i="20"/>
  <c r="C40" i="20"/>
  <c r="B40" i="20"/>
  <c r="E39" i="20"/>
  <c r="D39" i="20"/>
  <c r="C39" i="20"/>
  <c r="B39" i="20"/>
  <c r="E26" i="20"/>
  <c r="D26" i="20"/>
  <c r="C26" i="20"/>
  <c r="B26" i="20"/>
  <c r="E8" i="20"/>
  <c r="D8" i="20"/>
  <c r="C8" i="20"/>
  <c r="B8" i="20"/>
  <c r="E34" i="20"/>
  <c r="D34" i="20"/>
  <c r="C34" i="20"/>
  <c r="B34" i="20"/>
  <c r="E33" i="20"/>
  <c r="D33" i="20"/>
  <c r="C33" i="20"/>
  <c r="B33" i="20"/>
  <c r="E32" i="20"/>
  <c r="D32" i="20"/>
  <c r="C32" i="20"/>
  <c r="B32" i="20"/>
  <c r="E31" i="20"/>
  <c r="D31" i="20"/>
  <c r="C31" i="20"/>
  <c r="B31" i="20"/>
  <c r="E30" i="20"/>
  <c r="D30" i="20"/>
  <c r="C30" i="20"/>
  <c r="B30" i="20"/>
  <c r="E25" i="20"/>
  <c r="D25" i="20"/>
  <c r="C25" i="20"/>
  <c r="B25" i="20"/>
  <c r="E24" i="20"/>
  <c r="D24" i="20"/>
  <c r="C24" i="20"/>
  <c r="B24" i="20"/>
  <c r="E23" i="20"/>
  <c r="D23" i="20"/>
  <c r="C23" i="20"/>
  <c r="B23" i="20"/>
  <c r="E22" i="20"/>
  <c r="D22" i="20"/>
  <c r="C22" i="20"/>
  <c r="B22" i="20"/>
  <c r="E21" i="20"/>
  <c r="D21" i="20"/>
  <c r="C21" i="20"/>
  <c r="B21" i="20"/>
  <c r="E16" i="20"/>
  <c r="D16" i="20"/>
  <c r="C16" i="20"/>
  <c r="B16" i="20"/>
  <c r="E15" i="20"/>
  <c r="E14" i="20"/>
  <c r="D14" i="20"/>
  <c r="D15" i="20"/>
  <c r="C15" i="20"/>
  <c r="B15" i="20"/>
  <c r="C14" i="20"/>
  <c r="B14" i="20"/>
  <c r="E13" i="20"/>
  <c r="D13" i="20"/>
  <c r="C13" i="20"/>
  <c r="B13" i="20"/>
  <c r="E12" i="20"/>
  <c r="D12" i="20"/>
  <c r="C12" i="20"/>
  <c r="B12" i="20"/>
  <c r="E7" i="20"/>
  <c r="D7" i="20"/>
  <c r="C7" i="20"/>
  <c r="B7" i="20"/>
  <c r="E6" i="20"/>
  <c r="D6" i="20"/>
  <c r="D5" i="20"/>
  <c r="C6" i="20"/>
  <c r="C5" i="20"/>
  <c r="B6" i="20"/>
  <c r="E5" i="20"/>
  <c r="D4" i="20"/>
  <c r="C4" i="20"/>
  <c r="B5" i="20"/>
  <c r="E4" i="20"/>
  <c r="D3" i="20"/>
  <c r="B4" i="20"/>
  <c r="E3" i="20"/>
  <c r="C3" i="20"/>
  <c r="B3" i="20"/>
  <c r="W3" i="19"/>
  <c r="W4" i="19"/>
  <c r="W5" i="19"/>
  <c r="W6" i="19"/>
  <c r="W7" i="19"/>
  <c r="W8" i="19"/>
  <c r="W9" i="19"/>
  <c r="W10" i="19"/>
  <c r="W11" i="19"/>
  <c r="W12" i="19"/>
  <c r="W13" i="19"/>
  <c r="W14" i="19"/>
  <c r="W15" i="19"/>
  <c r="W16" i="19"/>
  <c r="W17" i="19"/>
  <c r="W18" i="19"/>
  <c r="W19" i="19"/>
  <c r="W20" i="19"/>
  <c r="W21" i="19"/>
  <c r="W22" i="19"/>
  <c r="W23" i="19"/>
  <c r="W24" i="19"/>
  <c r="W25" i="19"/>
  <c r="W26" i="19"/>
  <c r="W27" i="19"/>
  <c r="W28" i="19"/>
  <c r="W29" i="19"/>
  <c r="W30" i="19"/>
  <c r="W31" i="19"/>
  <c r="W32" i="19"/>
  <c r="W33" i="19"/>
  <c r="W34" i="19"/>
  <c r="W35" i="19"/>
  <c r="W36" i="19"/>
  <c r="W2" i="19"/>
  <c r="T3" i="19"/>
  <c r="T4" i="19"/>
  <c r="T5" i="19"/>
  <c r="T6" i="19"/>
  <c r="T7" i="19"/>
  <c r="T8" i="19"/>
  <c r="T9" i="19"/>
  <c r="T10" i="19"/>
  <c r="T11" i="19"/>
  <c r="T12" i="19"/>
  <c r="T13" i="19"/>
  <c r="T14" i="19"/>
  <c r="T15" i="19"/>
  <c r="T16" i="19"/>
  <c r="T17" i="19"/>
  <c r="T18" i="19"/>
  <c r="T19" i="19"/>
  <c r="T20" i="19"/>
  <c r="T21" i="19"/>
  <c r="T22" i="19"/>
  <c r="T23" i="19"/>
  <c r="T24" i="19"/>
  <c r="T25" i="19"/>
  <c r="T26" i="19"/>
  <c r="T27" i="19"/>
  <c r="T28" i="19"/>
  <c r="T29" i="19"/>
  <c r="T30" i="19"/>
  <c r="T31" i="19"/>
  <c r="T32" i="19"/>
  <c r="T33" i="19"/>
  <c r="T34" i="19"/>
  <c r="T35" i="19"/>
  <c r="T36" i="19"/>
  <c r="T2" i="19"/>
  <c r="Q3" i="19"/>
  <c r="Q4" i="19"/>
  <c r="Q5" i="19"/>
  <c r="Q6" i="19"/>
  <c r="Q7" i="19"/>
  <c r="Q8" i="19"/>
  <c r="Q9" i="19"/>
  <c r="Q10" i="19"/>
  <c r="Q11" i="19"/>
  <c r="Q12" i="19"/>
  <c r="Q13" i="19"/>
  <c r="Q14" i="19"/>
  <c r="Q15" i="19"/>
  <c r="Q16" i="19"/>
  <c r="Q17" i="19"/>
  <c r="Q18" i="19"/>
  <c r="Q19" i="19"/>
  <c r="Q20" i="19"/>
  <c r="Q21" i="19"/>
  <c r="Q22" i="19"/>
  <c r="Q23" i="19"/>
  <c r="Q24" i="19"/>
  <c r="Q25" i="19"/>
  <c r="Q26" i="19"/>
  <c r="Q27" i="19"/>
  <c r="Q28" i="19"/>
  <c r="Q29" i="19"/>
  <c r="Q30" i="19"/>
  <c r="Q31" i="19"/>
  <c r="Q32" i="19"/>
  <c r="Q33" i="19"/>
  <c r="Q34" i="19"/>
  <c r="Q35" i="19"/>
  <c r="Q36" i="19"/>
  <c r="Q2" i="19"/>
  <c r="N3" i="19"/>
  <c r="N4" i="19"/>
  <c r="N5" i="19"/>
  <c r="N6" i="19"/>
  <c r="N7" i="19"/>
  <c r="N8" i="19"/>
  <c r="N9" i="19"/>
  <c r="N10" i="19"/>
  <c r="N11" i="19"/>
  <c r="N12" i="19"/>
  <c r="N13" i="19"/>
  <c r="N14" i="19"/>
  <c r="N15" i="19"/>
  <c r="N16" i="19"/>
  <c r="N17" i="19"/>
  <c r="N18" i="19"/>
  <c r="N19" i="19"/>
  <c r="N20" i="19"/>
  <c r="N21" i="19"/>
  <c r="N22" i="19"/>
  <c r="N23" i="19"/>
  <c r="N24" i="19"/>
  <c r="N25" i="19"/>
  <c r="N26" i="19"/>
  <c r="N27" i="19"/>
  <c r="N28" i="19"/>
  <c r="N29" i="19"/>
  <c r="N30" i="19"/>
  <c r="N31" i="19"/>
  <c r="N32" i="19"/>
  <c r="N33" i="19"/>
  <c r="N34" i="19"/>
  <c r="N35" i="19"/>
  <c r="N36" i="19"/>
  <c r="N2" i="19"/>
  <c r="K3" i="19"/>
  <c r="K4" i="19"/>
  <c r="K5"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2" i="19"/>
  <c r="H3" i="19"/>
  <c r="H4" i="19"/>
  <c r="H5" i="19"/>
  <c r="H6" i="19"/>
  <c r="H7" i="19"/>
  <c r="H8" i="19"/>
  <c r="H9" i="19"/>
  <c r="H10" i="19"/>
  <c r="H11" i="19"/>
  <c r="H12" i="19"/>
  <c r="H13" i="19"/>
  <c r="H14" i="19"/>
  <c r="H15" i="19"/>
  <c r="H16" i="19"/>
  <c r="H17" i="19"/>
  <c r="H18" i="19"/>
  <c r="H19" i="19"/>
  <c r="H20" i="19"/>
  <c r="H21" i="19"/>
  <c r="H22" i="19"/>
  <c r="H23" i="19"/>
  <c r="H24" i="19"/>
  <c r="H25" i="19"/>
  <c r="H26" i="19"/>
  <c r="H27" i="19"/>
  <c r="H28" i="19"/>
  <c r="H29" i="19"/>
  <c r="H30" i="19"/>
  <c r="H31" i="19"/>
  <c r="H32" i="19"/>
  <c r="H33" i="19"/>
  <c r="H34" i="19"/>
  <c r="H35" i="19"/>
  <c r="H36" i="19"/>
  <c r="H2" i="19"/>
  <c r="E3" i="19"/>
  <c r="E4" i="19"/>
  <c r="E5" i="19"/>
  <c r="E6" i="19"/>
  <c r="E7" i="19"/>
  <c r="E8" i="19"/>
  <c r="E9" i="19"/>
  <c r="E10" i="19"/>
  <c r="E11" i="19"/>
  <c r="E12" i="19"/>
  <c r="E13" i="19"/>
  <c r="E14" i="19"/>
  <c r="E15" i="19"/>
  <c r="E16" i="19"/>
  <c r="E17" i="19"/>
  <c r="E18" i="19"/>
  <c r="E19" i="19"/>
  <c r="E20" i="19"/>
  <c r="E21" i="19"/>
  <c r="E22" i="19"/>
  <c r="E23" i="19"/>
  <c r="E24" i="19"/>
  <c r="E25" i="19"/>
  <c r="E26" i="19"/>
  <c r="E27" i="19"/>
  <c r="E28" i="19"/>
  <c r="E29" i="19"/>
  <c r="E30" i="19"/>
  <c r="E31" i="19"/>
  <c r="E32" i="19"/>
  <c r="E33" i="19"/>
  <c r="E34" i="19"/>
  <c r="E35" i="19"/>
  <c r="E36" i="19"/>
  <c r="E2" i="19"/>
  <c r="C36" i="19"/>
  <c r="C35" i="19"/>
  <c r="C34" i="19"/>
  <c r="C33" i="19"/>
  <c r="C32" i="19"/>
  <c r="C31" i="19"/>
  <c r="C30" i="19"/>
  <c r="C29" i="19"/>
  <c r="C28" i="19"/>
  <c r="C27" i="19"/>
  <c r="C26" i="19"/>
  <c r="C25" i="19"/>
  <c r="C24" i="19"/>
  <c r="C23" i="19"/>
  <c r="C22" i="19"/>
  <c r="C21" i="19"/>
  <c r="C20" i="19"/>
  <c r="C19" i="19"/>
  <c r="C18" i="19"/>
  <c r="C17" i="19"/>
  <c r="C16" i="19"/>
  <c r="C15" i="19"/>
  <c r="C14" i="19"/>
  <c r="C13" i="19"/>
  <c r="C12" i="19"/>
  <c r="C11" i="19"/>
  <c r="C10" i="19"/>
  <c r="C9" i="19"/>
  <c r="C8" i="19"/>
  <c r="C7" i="19"/>
  <c r="C6" i="19"/>
  <c r="C5" i="19"/>
  <c r="C4" i="19"/>
  <c r="C3" i="19"/>
  <c r="C2" i="19"/>
  <c r="H3" i="3"/>
  <c r="H4" i="3"/>
  <c r="H5" i="3"/>
  <c r="H6" i="3"/>
  <c r="H7" i="3"/>
  <c r="H8" i="3"/>
  <c r="H2"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2" i="2"/>
  <c r="G8" i="3"/>
  <c r="B2" i="3"/>
  <c r="G7" i="3"/>
  <c r="E53" i="20" s="1"/>
  <c r="F2" i="3"/>
  <c r="F3" i="3"/>
  <c r="F4" i="3"/>
  <c r="F5" i="3"/>
  <c r="F6" i="3"/>
  <c r="F7" i="3"/>
  <c r="F8" i="3"/>
  <c r="E3" i="3"/>
  <c r="E4" i="3"/>
  <c r="C35" i="20" s="1"/>
  <c r="E5" i="3"/>
  <c r="D35" i="20" s="1"/>
  <c r="E6" i="3"/>
  <c r="E7" i="3"/>
  <c r="E35" i="20" s="1"/>
  <c r="E8" i="3"/>
  <c r="E2" i="3"/>
  <c r="F35" i="20" s="1"/>
  <c r="D3" i="3"/>
  <c r="D4" i="3"/>
  <c r="D5" i="3"/>
  <c r="D6" i="3"/>
  <c r="D7" i="3"/>
  <c r="D8" i="3"/>
  <c r="D2" i="3"/>
  <c r="C3" i="3"/>
  <c r="C4" i="3"/>
  <c r="C17" i="20" s="1"/>
  <c r="C5" i="3"/>
  <c r="D17" i="20" s="1"/>
  <c r="C6" i="3"/>
  <c r="C7" i="3"/>
  <c r="E17" i="20" s="1"/>
  <c r="C8" i="3"/>
  <c r="C2" i="3"/>
  <c r="F17" i="20" s="1"/>
  <c r="B3" i="3"/>
  <c r="B4" i="3"/>
  <c r="B5" i="3"/>
  <c r="B6" i="3"/>
  <c r="B7" i="3"/>
  <c r="B8" i="3"/>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5" i="2"/>
  <c r="F36" i="2"/>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2" i="2"/>
  <c r="K8" i="1"/>
  <c r="K7" i="1"/>
  <c r="K6" i="1"/>
  <c r="K5" i="1"/>
  <c r="K4" i="1"/>
  <c r="K3" i="1"/>
  <c r="K2" i="1"/>
  <c r="B35" i="20" l="1"/>
  <c r="B33" i="22"/>
  <c r="D33" i="22"/>
  <c r="D36" i="22"/>
  <c r="F33" i="22"/>
  <c r="F36" i="22"/>
  <c r="B17" i="20"/>
  <c r="D53" i="20"/>
  <c r="G4" i="3"/>
  <c r="C53" i="20" s="1"/>
  <c r="G2" i="3"/>
  <c r="D49" i="20"/>
  <c r="B52" i="20"/>
  <c r="F48" i="20"/>
  <c r="C5" i="25"/>
  <c r="B13" i="25"/>
  <c r="G3" i="3"/>
  <c r="C48" i="20"/>
  <c r="G2" i="22"/>
  <c r="B5" i="25"/>
  <c r="B53" i="20"/>
  <c r="D12" i="24"/>
  <c r="D13" i="24"/>
  <c r="D14" i="24"/>
  <c r="D15" i="24"/>
  <c r="D16" i="24"/>
  <c r="F53" i="20" l="1"/>
</calcChain>
</file>

<file path=xl/sharedStrings.xml><?xml version="1.0" encoding="utf-8"?>
<sst xmlns="http://schemas.openxmlformats.org/spreadsheetml/2006/main" count="756" uniqueCount="214">
  <si>
    <t>Bank</t>
  </si>
  <si>
    <t>Year</t>
  </si>
  <si>
    <t>Net_Profit</t>
  </si>
  <si>
    <t>Total_Assets_Current</t>
  </si>
  <si>
    <t>Total_Assets_Prior</t>
  </si>
  <si>
    <t>Total_Equity_Current</t>
  </si>
  <si>
    <t>Total_Equity_Prior</t>
  </si>
  <si>
    <t>Net_Interest_Income</t>
  </si>
  <si>
    <t>Operating_Expenses</t>
  </si>
  <si>
    <t>Operating_Income</t>
  </si>
  <si>
    <t>Gross_Loans</t>
  </si>
  <si>
    <t>Source</t>
  </si>
  <si>
    <t>BoG</t>
  </si>
  <si>
    <t>NPLs</t>
  </si>
  <si>
    <t>pp: 1,2,37,70</t>
  </si>
  <si>
    <t>pp: 1,2,51,78</t>
  </si>
  <si>
    <t>pp: 9,10,88</t>
  </si>
  <si>
    <t>pp:10,11,44,79,89</t>
  </si>
  <si>
    <t>pp:9,11,44,79,89,90</t>
  </si>
  <si>
    <t>pp:8,10,42,81,92</t>
  </si>
  <si>
    <t>TBC</t>
  </si>
  <si>
    <t>pp:86,102,104</t>
  </si>
  <si>
    <t>pp:92,113,115</t>
  </si>
  <si>
    <t>pp:113,120,121,122</t>
  </si>
  <si>
    <t>pp:74,125,126</t>
  </si>
  <si>
    <t>pp:34,71</t>
  </si>
  <si>
    <t>pp:44,81,86</t>
  </si>
  <si>
    <t>pp:34,35,92</t>
  </si>
  <si>
    <t>Basis</t>
  </si>
  <si>
    <t>Credo</t>
  </si>
  <si>
    <t>VTB</t>
  </si>
  <si>
    <t>pp:6,7,43,48,49</t>
  </si>
  <si>
    <t>pp: 7, 30, 56, 57, 47</t>
  </si>
  <si>
    <t>pp: 7,34,48,61,64</t>
  </si>
  <si>
    <t>pp: 7,46,49,56,57</t>
  </si>
  <si>
    <t>pp: 8,10,43,52,55,62</t>
  </si>
  <si>
    <t>pp:9,11,48,59,62</t>
  </si>
  <si>
    <t>pp:76,77,96,101,102</t>
  </si>
  <si>
    <t>pp:6,7,26,44</t>
  </si>
  <si>
    <t>pp:6,7,22,41</t>
  </si>
  <si>
    <t>pp:6,7,21,42</t>
  </si>
  <si>
    <t>pp:6,7,24,44</t>
  </si>
  <si>
    <t>pp:6,7,23,24</t>
  </si>
  <si>
    <t>pp:6,7,18</t>
  </si>
  <si>
    <t>pp:6,8,20,21</t>
  </si>
  <si>
    <t>pp:6,7,27,30</t>
  </si>
  <si>
    <t>pp:6,7,25,30</t>
  </si>
  <si>
    <t>pp:6,7,26,32</t>
  </si>
  <si>
    <t>pp:5,6,27,32</t>
  </si>
  <si>
    <t>pp:7,9,28,35</t>
  </si>
  <si>
    <t>pp:5,6,26,30</t>
  </si>
  <si>
    <t>pp:11,12,45,90</t>
  </si>
  <si>
    <t>Thousands of Georgian Lari</t>
  </si>
  <si>
    <t>ROA</t>
  </si>
  <si>
    <t>ROE</t>
  </si>
  <si>
    <t>CIR</t>
  </si>
  <si>
    <t>NPL_Ratio</t>
  </si>
  <si>
    <t>=Net Profit / 
Average Total Assets</t>
  </si>
  <si>
    <t>=Net Profit / 
Average Total Equity</t>
  </si>
  <si>
    <t>=Net interest 
Income / 
Average Total Assets</t>
  </si>
  <si>
    <t>Return on 
Assets</t>
  </si>
  <si>
    <t>Return on 
Equity</t>
  </si>
  <si>
    <t>Net Interest
Margin</t>
  </si>
  <si>
    <t>Cost-to-
Income
Ratio</t>
  </si>
  <si>
    <t>NPL Ratio</t>
  </si>
  <si>
    <t>=Operating
Expenses / 
Operating
Income</t>
  </si>
  <si>
    <t>=NPLs / 
Gross Loans</t>
  </si>
  <si>
    <t>Avg_ROA</t>
  </si>
  <si>
    <t>Avg_ROE</t>
  </si>
  <si>
    <t>Avg_NIM</t>
  </si>
  <si>
    <t>Avg_CIR</t>
  </si>
  <si>
    <t>Avg_NPL</t>
  </si>
  <si>
    <t>NIM_approx</t>
  </si>
  <si>
    <t>Loan-to-Asset Ratio</t>
  </si>
  <si>
    <t>=Gross Loans / 
Average Total Assets</t>
  </si>
  <si>
    <t>Row Labels</t>
  </si>
  <si>
    <t>Grand Total</t>
  </si>
  <si>
    <t>Column Labels</t>
  </si>
  <si>
    <t>Industry</t>
  </si>
  <si>
    <t>Avg_Loan_to_Asset</t>
  </si>
  <si>
    <t>Equity Multiplier</t>
  </si>
  <si>
    <t>=Average Total Assets / 
Average Total Equity</t>
  </si>
  <si>
    <t>Average_Equity_Multiplier</t>
  </si>
  <si>
    <t>Average of Equity Multiplier</t>
  </si>
  <si>
    <t>Average of ROA</t>
  </si>
  <si>
    <t>Average of ROE</t>
  </si>
  <si>
    <t>Average of NIM_approx</t>
  </si>
  <si>
    <t>Average of CIR</t>
  </si>
  <si>
    <t>Average of NPL_Ratio</t>
  </si>
  <si>
    <t>Average of Loan-to-Asset Ratio</t>
  </si>
  <si>
    <t>Industry ROA</t>
  </si>
  <si>
    <t>ROA Difference</t>
  </si>
  <si>
    <t>Industry ROE</t>
  </si>
  <si>
    <t>ROE Difference</t>
  </si>
  <si>
    <t>Industry NIM</t>
  </si>
  <si>
    <t>NIM Difference</t>
  </si>
  <si>
    <t>Industry CIR</t>
  </si>
  <si>
    <t>CIR Difference</t>
  </si>
  <si>
    <t>NPL</t>
  </si>
  <si>
    <t>Industry NPL</t>
  </si>
  <si>
    <t>NPL Difference</t>
  </si>
  <si>
    <t>Industry Loan-to-Asset</t>
  </si>
  <si>
    <t>Loan-to-Asset Difference</t>
  </si>
  <si>
    <t>Industry Equity Multiplier</t>
  </si>
  <si>
    <t>Difference Equity Multiplier</t>
  </si>
  <si>
    <t>Pre-COVID
Avg ROA</t>
  </si>
  <si>
    <t>Post-2022
Avg ROA</t>
  </si>
  <si>
    <t>COVID
2020 ROA</t>
  </si>
  <si>
    <t>Pre-COVID
Avg ROE</t>
  </si>
  <si>
    <t>COVID
2020 ROE</t>
  </si>
  <si>
    <t>Post-2022
Avg ROE</t>
  </si>
  <si>
    <t>Pre-COVID
Avg CIR</t>
  </si>
  <si>
    <t>COVID
2020 CIR</t>
  </si>
  <si>
    <t>Post-
Avg CIR</t>
  </si>
  <si>
    <t>NIM</t>
  </si>
  <si>
    <t>Pre-COVID
Avg NIM</t>
  </si>
  <si>
    <t>COVID
2020 NIM</t>
  </si>
  <si>
    <t>Pre-COVID
Avg NPL</t>
  </si>
  <si>
    <t>COVID
2020 NPL</t>
  </si>
  <si>
    <t>Post-2022
Avg NPL</t>
  </si>
  <si>
    <t>Loan-to-Asset</t>
  </si>
  <si>
    <t>Pre-COVID
Avg Loan-to-Asset</t>
  </si>
  <si>
    <t>COVID
2020 Loan-to-Asset</t>
  </si>
  <si>
    <t>Post-2022
Avg Loan-to-Asset</t>
  </si>
  <si>
    <t>7-Yr Avg</t>
  </si>
  <si>
    <t>Best Phase</t>
  </si>
  <si>
    <t>Worst Phase</t>
  </si>
  <si>
    <t>Post-2022</t>
  </si>
  <si>
    <t>Recovery 2021-22</t>
  </si>
  <si>
    <t>Pre-COVID</t>
  </si>
  <si>
    <t>COVID 2020</t>
  </si>
  <si>
    <t>Recovery 2021-2022</t>
  </si>
  <si>
    <t>Post-2022
Avg NIM</t>
  </si>
  <si>
    <t>Recovery 2021–22</t>
  </si>
  <si>
    <t>Pre-COVID 2018–19</t>
  </si>
  <si>
    <t>Post 2022</t>
  </si>
  <si>
    <t>7 Yr Avg</t>
  </si>
  <si>
    <t>Loan to asset</t>
  </si>
  <si>
    <t>Avg ROA</t>
  </si>
  <si>
    <t>Avg ROE</t>
  </si>
  <si>
    <t>Avg NIM</t>
  </si>
  <si>
    <t>Avg CIR</t>
  </si>
  <si>
    <t>Avg NPL</t>
  </si>
  <si>
    <t>Avg Loan-to-Asset</t>
  </si>
  <si>
    <t>Avg Equity Multiplier</t>
  </si>
  <si>
    <t>Category</t>
  </si>
  <si>
    <t>Best Bank</t>
  </si>
  <si>
    <t>Weakest Bank</t>
  </si>
  <si>
    <t>Asset Utilization (ROA)</t>
  </si>
  <si>
    <t>Profitability (ROE)</t>
  </si>
  <si>
    <t>Efficiency (CIR)</t>
  </si>
  <si>
    <t>Lending Intensity (Loan-to-Asset)</t>
  </si>
  <si>
    <t>Asset Quality (NPL)</t>
  </si>
  <si>
    <t>LOWER</t>
  </si>
  <si>
    <t>Highest/Lowest Leverage</t>
  </si>
  <si>
    <t>Research Area</t>
  </si>
  <si>
    <t>Main Finding</t>
  </si>
  <si>
    <t>Profitability leaders</t>
  </si>
  <si>
    <t>Most efficient bank</t>
  </si>
  <si>
    <t>Weakest asset quality</t>
  </si>
  <si>
    <t>Strongest COVID recovery</t>
  </si>
  <si>
    <t>Most consistent underperformer</t>
  </si>
  <si>
    <t>BOG and TBC consistently maintained the highest ROE and ROA levels relative to industry averages</t>
  </si>
  <si>
    <t>BOG maintained the lowest average cost-to-income ratio during most years</t>
  </si>
  <si>
    <t>VTB exhibited persistently weaker asset-quality indicators relative to peer banks</t>
  </si>
  <si>
    <t>TBC recovered profitability levels faster than smaller banks after the 2020 decline.</t>
  </si>
  <si>
    <t>VTB is underperformer</t>
  </si>
  <si>
    <t>COVID-19 Resilience Analysis (ROA-based)</t>
  </si>
  <si>
    <t>Pre-COVID
Avg ROA (2018-19)</t>
  </si>
  <si>
    <t>2020 ROA
 (COVID Shock)</t>
  </si>
  <si>
    <t>ROA 
Drop (%)</t>
  </si>
  <si>
    <t>Post-2022
Avg ROA 
(2023-24)</t>
  </si>
  <si>
    <t>Fully 
Recovered?</t>
  </si>
  <si>
    <t>Resilience
Ranking</t>
  </si>
  <si>
    <t>Recovery 2021-22 Avg ROA</t>
  </si>
  <si>
    <t>Recovery 2021-22 Avg ROE</t>
  </si>
  <si>
    <t>Recovery 
2021-22 Avg NIM</t>
  </si>
  <si>
    <t>Recovery 
2021-22 Avg CIR</t>
  </si>
  <si>
    <t>Recovery 
2021-22 Avg NPL</t>
  </si>
  <si>
    <t>Recovery 
2021-22 Avg Loan-to-Asset</t>
  </si>
  <si>
    <t>% of Pre-COVID
ROA Recovered</t>
  </si>
  <si>
    <t>Yes - exceeded</t>
  </si>
  <si>
    <t>Partial</t>
  </si>
  <si>
    <t>No - collapsed</t>
  </si>
  <si>
    <t>1st</t>
  </si>
  <si>
    <t>2nd</t>
  </si>
  <si>
    <t>3rd</t>
  </si>
  <si>
    <t>4th</t>
  </si>
  <si>
    <t>5th</t>
  </si>
  <si>
    <t>2021-22 Recovery
 Avg ROA</t>
  </si>
  <si>
    <t>ROE Resilience</t>
  </si>
  <si>
    <t>Pre-COVID
Avg ROE (2018-19)</t>
  </si>
  <si>
    <t>2020 ROE
 (COVID Shock)</t>
  </si>
  <si>
    <t>ROE
Drop (%)</t>
  </si>
  <si>
    <t>2021-22 Recovery
 Avg ROE</t>
  </si>
  <si>
    <t>% of Pre-COVID
ROE Recovered</t>
  </si>
  <si>
    <t>Post-2022
Avg ROE 
(2023-24)</t>
  </si>
  <si>
    <t>Independent Variable</t>
  </si>
  <si>
    <t>Corr. With ROE</t>
  </si>
  <si>
    <t>Net Interest Margin (NIM)</t>
  </si>
  <si>
    <t>Cost-to-Income (CIR)</t>
  </si>
  <si>
    <t>All 5 banks, 2018-2024</t>
  </si>
  <si>
    <t>Corr. with ROA</t>
  </si>
  <si>
    <t>Corr. with ROE</t>
  </si>
  <si>
    <t>excluding VTB, to remove outliers</t>
  </si>
  <si>
    <t>Sum of Net_Profit</t>
  </si>
  <si>
    <t>Metric</t>
  </si>
  <si>
    <t>BasisBank</t>
  </si>
  <si>
    <t>ROA Efficiency</t>
  </si>
  <si>
    <t>ROE Shareholder Return</t>
  </si>
  <si>
    <t>NIM Spread</t>
  </si>
  <si>
    <t xml:space="preserve">Credo </t>
  </si>
  <si>
    <t>CIR (Inverted)</t>
  </si>
  <si>
    <t>NPL (Inverted)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</si>
</sst>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_-* #,##0.00\ _X_D_R_-;\-* #,##0.00\ _X_D_R_-;_-* &quot;-&quot;??\ _X_D_R_-;_-@_-"/>
    <numFmt numFmtId="166" formatCode="#,##0.000000"/>
    <numFmt numFmtId="167" formatCode="0.000"/>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00B050"/>
        <bgColor indexed="64"/>
      </patternFill>
    </fill>
    <fill>
      <patternFill patternType="solid">
        <fgColor rgb="FFFF0000"/>
        <bgColor indexed="64"/>
      </patternFill>
    </fill>
    <fill>
      <patternFill patternType="solid">
        <fgColor rgb="FF00B050"/>
        <bgColor theme="4" tint="0.79998168889431442"/>
      </patternFill>
    </fill>
    <fill>
      <patternFill patternType="solid">
        <fgColor rgb="FFFF0000"/>
        <bgColor theme="4" tint="0.79998168889431442"/>
      </patternFill>
    </fill>
    <fill>
      <patternFill patternType="solid">
        <fgColor rgb="FFFFFF00"/>
        <bgColor theme="4" tint="0.79998168889431442"/>
      </patternFill>
    </fill>
  </fills>
  <borders count="6">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
    <xf numFmtId="0" fontId="0" fillId="0" borderId="0"/>
    <xf numFmtId="43" fontId="1" fillId="0" borderId="0" applyFont="0" applyFill="0" applyBorder="0" applyAlignment="0" applyProtection="0"/>
    <xf numFmtId="0" fontId="3" fillId="0" borderId="0" applyNumberFormat="0" applyFill="0" applyBorder="0" applyAlignment="0" applyProtection="0"/>
    <xf numFmtId="9" fontId="1" fillId="0" borderId="0" applyFont="0" applyFill="0" applyBorder="0" applyAlignment="0" applyProtection="0"/>
  </cellStyleXfs>
  <cellXfs count="60">
    <xf numFmtId="0" fontId="0" fillId="0" borderId="0" xfId="0"/>
    <xf numFmtId="0" fontId="2" fillId="0" borderId="0" xfId="0" applyFont="1"/>
    <xf numFmtId="3" fontId="0" fillId="0" borderId="0" xfId="0" applyNumberFormat="1"/>
    <xf numFmtId="164" fontId="0" fillId="0" borderId="0" xfId="1" applyNumberFormat="1" applyFont="1"/>
    <xf numFmtId="0" fontId="3" fillId="0" borderId="0" xfId="2"/>
    <xf numFmtId="165" fontId="0" fillId="0" borderId="0" xfId="0" applyNumberFormat="1"/>
    <xf numFmtId="164" fontId="0" fillId="0" borderId="0" xfId="1" applyNumberFormat="1" applyFont="1" applyAlignment="1">
      <alignment horizontal="left" indent="2"/>
    </xf>
    <xf numFmtId="164" fontId="0" fillId="0" borderId="0" xfId="1" applyNumberFormat="1" applyFont="1" applyAlignment="1">
      <alignment horizontal="left" indent="7"/>
    </xf>
    <xf numFmtId="0" fontId="4" fillId="2" borderId="0" xfId="0" applyFont="1" applyFill="1"/>
    <xf numFmtId="0" fontId="0" fillId="0" borderId="0" xfId="0" applyFont="1"/>
    <xf numFmtId="0" fontId="0" fillId="0" borderId="0" xfId="0" quotePrefix="1" applyAlignment="1">
      <alignment wrapText="1"/>
    </xf>
    <xf numFmtId="166" fontId="0" fillId="0" borderId="0" xfId="0" applyNumberFormat="1" applyFont="1"/>
    <xf numFmtId="0" fontId="0" fillId="0" borderId="0" xfId="0" applyFont="1" applyAlignment="1">
      <alignment wrapText="1"/>
    </xf>
    <xf numFmtId="166" fontId="0" fillId="0" borderId="0" xfId="0" applyNumberFormat="1" applyFont="1" applyAlignment="1">
      <alignment wrapText="1"/>
    </xf>
    <xf numFmtId="0" fontId="0" fillId="0" borderId="0" xfId="0" applyAlignment="1">
      <alignment wrapText="1"/>
    </xf>
    <xf numFmtId="10" fontId="0" fillId="0" borderId="0" xfId="3" applyNumberFormat="1" applyFont="1"/>
    <xf numFmtId="0" fontId="0" fillId="0" borderId="0" xfId="0" pivotButton="1"/>
    <xf numFmtId="0" fontId="0" fillId="0" borderId="0" xfId="0" applyAlignment="1">
      <alignment horizontal="left"/>
    </xf>
    <xf numFmtId="0" fontId="2" fillId="3" borderId="1" xfId="0" applyFont="1" applyFill="1" applyBorder="1"/>
    <xf numFmtId="0" fontId="2" fillId="3" borderId="0" xfId="0" applyFont="1" applyFill="1" applyBorder="1"/>
    <xf numFmtId="2" fontId="0" fillId="0" borderId="0" xfId="0" applyNumberFormat="1"/>
    <xf numFmtId="43" fontId="0" fillId="0" borderId="0" xfId="1" applyFont="1"/>
    <xf numFmtId="10" fontId="0" fillId="0" borderId="0" xfId="3" applyNumberFormat="1" applyFont="1" applyAlignment="1">
      <alignment horizontal="center"/>
    </xf>
    <xf numFmtId="10" fontId="0" fillId="0" borderId="0" xfId="0" applyNumberFormat="1" applyAlignment="1">
      <alignment horizontal="center" vertical="center"/>
    </xf>
    <xf numFmtId="2" fontId="0" fillId="0" borderId="0" xfId="0" applyNumberFormat="1" applyAlignment="1">
      <alignment horizontal="center"/>
    </xf>
    <xf numFmtId="10" fontId="0" fillId="0" borderId="0" xfId="0" applyNumberFormat="1"/>
    <xf numFmtId="10" fontId="2" fillId="3" borderId="1" xfId="3" applyNumberFormat="1" applyFont="1" applyFill="1" applyBorder="1"/>
    <xf numFmtId="10" fontId="2" fillId="0" borderId="0" xfId="3" applyNumberFormat="1" applyFont="1"/>
    <xf numFmtId="0" fontId="2" fillId="0" borderId="0" xfId="0" applyFont="1" applyAlignment="1">
      <alignment wrapText="1"/>
    </xf>
    <xf numFmtId="0" fontId="0" fillId="2" borderId="0" xfId="0" applyFill="1"/>
    <xf numFmtId="0" fontId="0" fillId="2" borderId="0" xfId="0" applyFont="1" applyFill="1"/>
    <xf numFmtId="10" fontId="0" fillId="3" borderId="2" xfId="3" applyNumberFormat="1" applyFont="1" applyFill="1" applyBorder="1"/>
    <xf numFmtId="10" fontId="0" fillId="3" borderId="2" xfId="0" applyNumberFormat="1" applyFont="1" applyFill="1" applyBorder="1"/>
    <xf numFmtId="10" fontId="0" fillId="3" borderId="3" xfId="3" applyNumberFormat="1" applyFont="1" applyFill="1" applyBorder="1"/>
    <xf numFmtId="10" fontId="0" fillId="0" borderId="2" xfId="3" applyNumberFormat="1" applyFont="1" applyBorder="1"/>
    <xf numFmtId="10" fontId="0" fillId="0" borderId="2" xfId="0" applyNumberFormat="1" applyFont="1" applyBorder="1"/>
    <xf numFmtId="10" fontId="0" fillId="0" borderId="3" xfId="3" applyNumberFormat="1" applyFont="1" applyBorder="1"/>
    <xf numFmtId="9" fontId="0" fillId="0" borderId="0" xfId="3" applyFont="1"/>
    <xf numFmtId="0" fontId="0" fillId="0" borderId="0" xfId="0" applyBorder="1"/>
    <xf numFmtId="10" fontId="0" fillId="3" borderId="4" xfId="3" applyNumberFormat="1" applyFont="1" applyFill="1" applyBorder="1"/>
    <xf numFmtId="10" fontId="0" fillId="3" borderId="4" xfId="0" applyNumberFormat="1" applyFont="1" applyFill="1" applyBorder="1"/>
    <xf numFmtId="10" fontId="0" fillId="3" borderId="5" xfId="3" applyNumberFormat="1" applyFont="1" applyFill="1" applyBorder="1"/>
    <xf numFmtId="10" fontId="0" fillId="4" borderId="0" xfId="3" applyNumberFormat="1" applyFont="1" applyFill="1"/>
    <xf numFmtId="10" fontId="0" fillId="5" borderId="0" xfId="3" applyNumberFormat="1" applyFont="1" applyFill="1"/>
    <xf numFmtId="10" fontId="0" fillId="6" borderId="0" xfId="3" applyNumberFormat="1" applyFont="1" applyFill="1"/>
    <xf numFmtId="10" fontId="0" fillId="4" borderId="0" xfId="0" applyNumberFormat="1" applyFill="1"/>
    <xf numFmtId="10" fontId="0" fillId="6" borderId="0" xfId="0" applyNumberFormat="1" applyFill="1"/>
    <xf numFmtId="10" fontId="0" fillId="7" borderId="3" xfId="3" applyNumberFormat="1" applyFont="1" applyFill="1" applyBorder="1"/>
    <xf numFmtId="10" fontId="0" fillId="5" borderId="2" xfId="3" applyNumberFormat="1" applyFont="1" applyFill="1" applyBorder="1"/>
    <xf numFmtId="10" fontId="0" fillId="7" borderId="2" xfId="3" applyNumberFormat="1" applyFont="1" applyFill="1" applyBorder="1"/>
    <xf numFmtId="10" fontId="0" fillId="8" borderId="2" xfId="0" applyNumberFormat="1" applyFont="1" applyFill="1" applyBorder="1"/>
    <xf numFmtId="10" fontId="0" fillId="6" borderId="2" xfId="0" applyNumberFormat="1" applyFont="1" applyFill="1" applyBorder="1"/>
    <xf numFmtId="10" fontId="0" fillId="8" borderId="2" xfId="3" applyNumberFormat="1" applyFont="1" applyFill="1" applyBorder="1"/>
    <xf numFmtId="10" fontId="0" fillId="6" borderId="3" xfId="3" applyNumberFormat="1" applyFont="1" applyFill="1" applyBorder="1"/>
    <xf numFmtId="10" fontId="0" fillId="7" borderId="4" xfId="3" applyNumberFormat="1" applyFont="1" applyFill="1" applyBorder="1"/>
    <xf numFmtId="10" fontId="0" fillId="8" borderId="4" xfId="0" applyNumberFormat="1" applyFont="1" applyFill="1" applyBorder="1"/>
    <xf numFmtId="0" fontId="2" fillId="9" borderId="0" xfId="0" applyFont="1" applyFill="1" applyBorder="1"/>
    <xf numFmtId="10" fontId="2" fillId="9" borderId="0" xfId="3" applyNumberFormat="1" applyFont="1" applyFill="1" applyBorder="1"/>
    <xf numFmtId="167" fontId="0" fillId="0" borderId="0" xfId="0" applyNumberFormat="1"/>
    <xf numFmtId="164" fontId="0" fillId="0" borderId="0" xfId="0" applyNumberFormat="1"/>
  </cellXfs>
  <cellStyles count="4">
    <cellStyle name="Comma" xfId="1" builtinId="3"/>
    <cellStyle name="Hyperlink" xfId="2" builtinId="8"/>
    <cellStyle name="Normal" xfId="0" builtinId="0"/>
    <cellStyle name="Percent" xfId="3" builtinId="5"/>
  </cellStyles>
  <dxfs count="106">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4" formatCode="0.00%"/>
    </dxf>
    <dxf>
      <numFmt numFmtId="14" formatCode="0.00%"/>
    </dxf>
    <dxf>
      <numFmt numFmtId="14" formatCode="0.00%"/>
    </dxf>
    <dxf>
      <font>
        <b/>
        <i val="0"/>
        <strike val="0"/>
        <condense val="0"/>
        <extend val="0"/>
        <outline val="0"/>
        <shadow val="0"/>
        <u val="none"/>
        <vertAlign val="baseline"/>
        <sz val="11"/>
        <color theme="1"/>
        <name val="Calibri"/>
        <family val="2"/>
        <scheme val="minor"/>
      </font>
    </dxf>
    <dxf>
      <numFmt numFmtId="167" formatCode="0.000"/>
    </dxf>
    <dxf>
      <numFmt numFmtId="167" formatCode="0.000"/>
    </dxf>
    <dxf>
      <numFmt numFmtId="167" formatCode="0.000"/>
    </dxf>
    <dxf>
      <numFmt numFmtId="167" formatCode="0.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numFmt numFmtId="14" formatCode="0.00%"/>
    </dxf>
    <dxf>
      <numFmt numFmtId="14" formatCode="0.00%"/>
    </dxf>
    <dxf>
      <numFmt numFmtId="14" formatCode="0.00%"/>
    </dxf>
    <dxf>
      <alignment horizontal="general" vertical="bottom" textRotation="0" wrapText="1" indent="0" justifyLastLine="0" shrinkToFit="0" readingOrder="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numFmt numFmtId="14" formatCode="0.00%"/>
    </dxf>
    <dxf>
      <numFmt numFmtId="14" formatCode="0.00%"/>
    </dxf>
    <dxf>
      <numFmt numFmtId="14" formatCode="0.0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numFmt numFmtId="0" formatCode="General"/>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1" indent="0" justifyLastLine="0" shrinkToFit="0" readingOrder="0"/>
    </dxf>
    <dxf>
      <numFmt numFmtId="14" formatCode="0.00%"/>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1" indent="0" justifyLastLine="0" shrinkToFit="0" readingOrder="0"/>
    </dxf>
    <dxf>
      <numFmt numFmtId="14" formatCode="0.00%"/>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4" formatCode="0.0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4" formatCode="0.00%"/>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 Id="rId4"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chartUserShapes" Target="../drawings/drawing6.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 Id="rId4" Type="http://schemas.openxmlformats.org/officeDocument/2006/relationships/chartUserShapes" Target="../drawings/drawing7.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 Id="rId4"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 Id="rId4"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 Id="rId4"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chartUserShapes" Target="../drawings/drawing11.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[Thesis_Data.xlsx]Net Profit Growth!PivotTable16</c:name>
    <c:fmtId val="0"/>
  </c:pivotSource>
  <c:chart>
    <c:autoTitleDeleted val="0"/>
    <c:pivotFmts>
      <c:pivotFmt>
        <c:idx val="0"/>
        <c:spPr>
          <a:solidFill>
            <a:sysClr val="windowText" lastClr="0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C7A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'Net Profit Growth'!$G$17:$G$18</c:f>
              <c:strCache>
                <c:ptCount val="1"/>
                <c:pt idx="0">
                  <c:v>VTB</c:v>
                </c:pt>
              </c:strCache>
            </c:strRef>
          </c:tx>
          <c:spPr>
            <a:solidFill>
              <a:srgbClr val="7030A0"/>
            </a:solidFill>
            <a:ln>
              <a:noFill/>
            </a:ln>
            <a:effectLst/>
          </c:spPr>
          <c:invertIfNegative val="0"/>
          <c:cat>
            <c:strRef>
              <c:f>'Net Profit Growth'!$F$19:$F$26</c:f>
              <c:strCache>
                <c:ptCount val="7"/>
                <c:pt idx="0">
                  <c:v>2018</c:v>
                </c:pt>
                <c:pt idx="1">
                  <c:v>2019</c:v>
                </c:pt>
                <c:pt idx="2">
                  <c:v>2020</c:v>
                </c:pt>
                <c:pt idx="3">
                  <c:v>2021</c:v>
                </c:pt>
                <c:pt idx="4">
                  <c:v>2022</c:v>
                </c:pt>
                <c:pt idx="5">
                  <c:v>2023</c:v>
                </c:pt>
                <c:pt idx="6">
                  <c:v>2024</c:v>
                </c:pt>
              </c:strCache>
            </c:strRef>
          </c:cat>
          <c:val>
            <c:numRef>
              <c:f>'Net Profit Growth'!$G$19:$G$26</c:f>
              <c:numCache>
                <c:formatCode>_-* #,##0_-;\-* #,##0_-;_-* "-"??_-;_-@_-</c:formatCode>
                <c:ptCount val="7"/>
                <c:pt idx="0">
                  <c:v>26949</c:v>
                </c:pt>
                <c:pt idx="1">
                  <c:v>29755</c:v>
                </c:pt>
                <c:pt idx="2">
                  <c:v>26714</c:v>
                </c:pt>
                <c:pt idx="3">
                  <c:v>33995</c:v>
                </c:pt>
                <c:pt idx="4">
                  <c:v>-83562</c:v>
                </c:pt>
                <c:pt idx="5">
                  <c:v>400</c:v>
                </c:pt>
                <c:pt idx="6">
                  <c:v>8410</c:v>
                </c:pt>
              </c:numCache>
            </c:numRef>
          </c:val>
          <c:extLst>
            <c:ext xmlns:c16="http://schemas.microsoft.com/office/drawing/2014/chart" uri="{C3380CC4-5D6E-409C-BE32-E72D297353CC}">
              <c16:uniqueId val="{00000000-E298-4D4F-B267-E983E8061DAD}"/>
            </c:ext>
          </c:extLst>
        </c:ser>
        <c:ser>
          <c:idx val="1"/>
          <c:order val="1"/>
          <c:tx>
            <c:strRef>
              <c:f>'Net Profit Growth'!$H$17:$H$18</c:f>
              <c:strCache>
                <c:ptCount val="1"/>
                <c:pt idx="0">
                  <c:v>Credo</c:v>
                </c:pt>
              </c:strCache>
            </c:strRef>
          </c:tx>
          <c:spPr>
            <a:solidFill>
              <a:srgbClr val="00B050"/>
            </a:solidFill>
            <a:ln>
              <a:noFill/>
            </a:ln>
            <a:effectLst/>
          </c:spPr>
          <c:invertIfNegative val="0"/>
          <c:cat>
            <c:strRef>
              <c:f>'Net Profit Growth'!$F$19:$F$26</c:f>
              <c:strCache>
                <c:ptCount val="7"/>
                <c:pt idx="0">
                  <c:v>2018</c:v>
                </c:pt>
                <c:pt idx="1">
                  <c:v>2019</c:v>
                </c:pt>
                <c:pt idx="2">
                  <c:v>2020</c:v>
                </c:pt>
                <c:pt idx="3">
                  <c:v>2021</c:v>
                </c:pt>
                <c:pt idx="4">
                  <c:v>2022</c:v>
                </c:pt>
                <c:pt idx="5">
                  <c:v>2023</c:v>
                </c:pt>
                <c:pt idx="6">
                  <c:v>2024</c:v>
                </c:pt>
              </c:strCache>
            </c:strRef>
          </c:cat>
          <c:val>
            <c:numRef>
              <c:f>'Net Profit Growth'!$H$19:$H$26</c:f>
              <c:numCache>
                <c:formatCode>_-* #,##0_-;\-* #,##0_-;_-* "-"??_-;_-@_-</c:formatCode>
                <c:ptCount val="7"/>
                <c:pt idx="0">
                  <c:v>20191</c:v>
                </c:pt>
                <c:pt idx="1">
                  <c:v>29539</c:v>
                </c:pt>
                <c:pt idx="2">
                  <c:v>10858</c:v>
                </c:pt>
                <c:pt idx="3">
                  <c:v>36710</c:v>
                </c:pt>
                <c:pt idx="4">
                  <c:v>45211</c:v>
                </c:pt>
                <c:pt idx="5">
                  <c:v>41073</c:v>
                </c:pt>
                <c:pt idx="6">
                  <c:v>68605</c:v>
                </c:pt>
              </c:numCache>
            </c:numRef>
          </c:val>
          <c:extLst>
            <c:ext xmlns:c16="http://schemas.microsoft.com/office/drawing/2014/chart" uri="{C3380CC4-5D6E-409C-BE32-E72D297353CC}">
              <c16:uniqueId val="{00000001-E298-4D4F-B267-E983E8061DAD}"/>
            </c:ext>
          </c:extLst>
        </c:ser>
        <c:ser>
          <c:idx val="2"/>
          <c:order val="2"/>
          <c:tx>
            <c:strRef>
              <c:f>'Net Profit Growth'!$I$17:$I$18</c:f>
              <c:strCache>
                <c:ptCount val="1"/>
                <c:pt idx="0">
                  <c:v>Basis</c:v>
                </c:pt>
              </c:strCache>
            </c:strRef>
          </c:tx>
          <c:spPr>
            <a:solidFill>
              <a:sysClr val="windowText" lastClr="000000"/>
            </a:solidFill>
            <a:ln>
              <a:noFill/>
            </a:ln>
            <a:effectLst/>
          </c:spPr>
          <c:invertIfNegative val="0"/>
          <c:cat>
            <c:strRef>
              <c:f>'Net Profit Growth'!$F$19:$F$26</c:f>
              <c:strCache>
                <c:ptCount val="7"/>
                <c:pt idx="0">
                  <c:v>2018</c:v>
                </c:pt>
                <c:pt idx="1">
                  <c:v>2019</c:v>
                </c:pt>
                <c:pt idx="2">
                  <c:v>2020</c:v>
                </c:pt>
                <c:pt idx="3">
                  <c:v>2021</c:v>
                </c:pt>
                <c:pt idx="4">
                  <c:v>2022</c:v>
                </c:pt>
                <c:pt idx="5">
                  <c:v>2023</c:v>
                </c:pt>
                <c:pt idx="6">
                  <c:v>2024</c:v>
                </c:pt>
              </c:strCache>
            </c:strRef>
          </c:cat>
          <c:val>
            <c:numRef>
              <c:f>'Net Profit Growth'!$I$19:$I$26</c:f>
              <c:numCache>
                <c:formatCode>_-* #,##0_-;\-* #,##0_-;_-* "-"??_-;_-@_-</c:formatCode>
                <c:ptCount val="7"/>
                <c:pt idx="0">
                  <c:v>37292</c:v>
                </c:pt>
                <c:pt idx="1">
                  <c:v>37327</c:v>
                </c:pt>
                <c:pt idx="2">
                  <c:v>24221</c:v>
                </c:pt>
                <c:pt idx="3">
                  <c:v>38581</c:v>
                </c:pt>
                <c:pt idx="4">
                  <c:v>74054</c:v>
                </c:pt>
                <c:pt idx="5">
                  <c:v>76885</c:v>
                </c:pt>
                <c:pt idx="6">
                  <c:v>87423</c:v>
                </c:pt>
              </c:numCache>
            </c:numRef>
          </c:val>
          <c:extLst>
            <c:ext xmlns:c16="http://schemas.microsoft.com/office/drawing/2014/chart" uri="{C3380CC4-5D6E-409C-BE32-E72D297353CC}">
              <c16:uniqueId val="{00000002-E298-4D4F-B267-E983E8061DAD}"/>
            </c:ext>
          </c:extLst>
        </c:ser>
        <c:ser>
          <c:idx val="3"/>
          <c:order val="3"/>
          <c:tx>
            <c:strRef>
              <c:f>'Net Profit Growth'!$J$17:$J$18</c:f>
              <c:strCache>
                <c:ptCount val="1"/>
                <c:pt idx="0">
                  <c:v>TBC</c:v>
                </c:pt>
              </c:strCache>
            </c:strRef>
          </c:tx>
          <c:spPr>
            <a:solidFill>
              <a:schemeClr val="accent4"/>
            </a:solidFill>
            <a:ln>
              <a:noFill/>
            </a:ln>
            <a:effectLst/>
          </c:spPr>
          <c:invertIfNegative val="0"/>
          <c:cat>
            <c:strRef>
              <c:f>'Net Profit Growth'!$F$19:$F$26</c:f>
              <c:strCache>
                <c:ptCount val="7"/>
                <c:pt idx="0">
                  <c:v>2018</c:v>
                </c:pt>
                <c:pt idx="1">
                  <c:v>2019</c:v>
                </c:pt>
                <c:pt idx="2">
                  <c:v>2020</c:v>
                </c:pt>
                <c:pt idx="3">
                  <c:v>2021</c:v>
                </c:pt>
                <c:pt idx="4">
                  <c:v>2022</c:v>
                </c:pt>
                <c:pt idx="5">
                  <c:v>2023</c:v>
                </c:pt>
                <c:pt idx="6">
                  <c:v>2024</c:v>
                </c:pt>
              </c:strCache>
            </c:strRef>
          </c:cat>
          <c:val>
            <c:numRef>
              <c:f>'Net Profit Growth'!$J$19:$J$26</c:f>
              <c:numCache>
                <c:formatCode>_-* #,##0_-;\-* #,##0_-;_-* "-"??_-;_-@_-</c:formatCode>
                <c:ptCount val="7"/>
                <c:pt idx="0">
                  <c:v>433300</c:v>
                </c:pt>
                <c:pt idx="1">
                  <c:v>545685</c:v>
                </c:pt>
                <c:pt idx="2">
                  <c:v>337260</c:v>
                </c:pt>
                <c:pt idx="3">
                  <c:v>842945</c:v>
                </c:pt>
                <c:pt idx="4">
                  <c:v>1023075</c:v>
                </c:pt>
                <c:pt idx="5">
                  <c:v>1119058</c:v>
                </c:pt>
                <c:pt idx="6">
                  <c:v>1244716</c:v>
                </c:pt>
              </c:numCache>
            </c:numRef>
          </c:val>
          <c:extLst>
            <c:ext xmlns:c16="http://schemas.microsoft.com/office/drawing/2014/chart" uri="{C3380CC4-5D6E-409C-BE32-E72D297353CC}">
              <c16:uniqueId val="{00000003-E298-4D4F-B267-E983E8061DAD}"/>
            </c:ext>
          </c:extLst>
        </c:ser>
        <c:ser>
          <c:idx val="4"/>
          <c:order val="4"/>
          <c:tx>
            <c:strRef>
              <c:f>'Net Profit Growth'!$K$17:$K$18</c:f>
              <c:strCache>
                <c:ptCount val="1"/>
                <c:pt idx="0">
                  <c:v>BoG</c:v>
                </c:pt>
              </c:strCache>
            </c:strRef>
          </c:tx>
          <c:spPr>
            <a:solidFill>
              <a:srgbClr val="EC7A2C"/>
            </a:solidFill>
            <a:ln>
              <a:noFill/>
            </a:ln>
            <a:effectLst/>
          </c:spPr>
          <c:invertIfNegative val="0"/>
          <c:cat>
            <c:strRef>
              <c:f>'Net Profit Growth'!$F$19:$F$26</c:f>
              <c:strCache>
                <c:ptCount val="7"/>
                <c:pt idx="0">
                  <c:v>2018</c:v>
                </c:pt>
                <c:pt idx="1">
                  <c:v>2019</c:v>
                </c:pt>
                <c:pt idx="2">
                  <c:v>2020</c:v>
                </c:pt>
                <c:pt idx="3">
                  <c:v>2021</c:v>
                </c:pt>
                <c:pt idx="4">
                  <c:v>2022</c:v>
                </c:pt>
                <c:pt idx="5">
                  <c:v>2023</c:v>
                </c:pt>
                <c:pt idx="6">
                  <c:v>2024</c:v>
                </c:pt>
              </c:strCache>
            </c:strRef>
          </c:cat>
          <c:val>
            <c:numRef>
              <c:f>'Net Profit Growth'!$K$19:$K$26</c:f>
              <c:numCache>
                <c:formatCode>_-* #,##0_-;\-* #,##0_-;_-* "-"??_-;_-@_-</c:formatCode>
                <c:ptCount val="7"/>
                <c:pt idx="0">
                  <c:v>343528</c:v>
                </c:pt>
                <c:pt idx="1">
                  <c:v>512887</c:v>
                </c:pt>
                <c:pt idx="2">
                  <c:v>306498</c:v>
                </c:pt>
                <c:pt idx="3">
                  <c:v>743811</c:v>
                </c:pt>
                <c:pt idx="4">
                  <c:v>992004</c:v>
                </c:pt>
                <c:pt idx="5">
                  <c:v>1333719</c:v>
                </c:pt>
                <c:pt idx="6">
                  <c:v>1837899</c:v>
                </c:pt>
              </c:numCache>
            </c:numRef>
          </c:val>
          <c:extLst>
            <c:ext xmlns:c16="http://schemas.microsoft.com/office/drawing/2014/chart" uri="{C3380CC4-5D6E-409C-BE32-E72D297353CC}">
              <c16:uniqueId val="{00000004-E298-4D4F-B267-E983E8061DAD}"/>
            </c:ext>
          </c:extLst>
        </c:ser>
        <c:dLbls>
          <c:showLegendKey val="0"/>
          <c:showVal val="0"/>
          <c:showCatName val="0"/>
          <c:showSerName val="0"/>
          <c:showPercent val="0"/>
          <c:showBubbleSize val="0"/>
        </c:dLbls>
        <c:gapWidth val="219"/>
        <c:overlap val="-27"/>
        <c:axId val="758260287"/>
        <c:axId val="758272767"/>
      </c:barChart>
      <c:catAx>
        <c:axId val="7582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758272767"/>
        <c:crosses val="autoZero"/>
        <c:auto val="1"/>
        <c:lblAlgn val="ctr"/>
        <c:lblOffset val="100"/>
        <c:noMultiLvlLbl val="0"/>
      </c:catAx>
      <c:valAx>
        <c:axId val="75827276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758260287"/>
        <c:crosses val="autoZero"/>
        <c:crossBetween val="between"/>
      </c:valAx>
      <c:spPr>
        <a:noFill/>
        <a:ln>
          <a:noFill/>
        </a:ln>
        <a:effectLst/>
      </c:spPr>
    </c:plotArea>
    <c:legend>
      <c:legendPos val="r"/>
      <c:layout>
        <c:manualLayout>
          <c:xMode val="edge"/>
          <c:yMode val="edge"/>
          <c:x val="0.91007512849988459"/>
          <c:y val="0.42603333034659119"/>
          <c:w val="6.1387652518231285E-2"/>
          <c:h val="0.487452062387827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barChart>
        <c:barDir val="col"/>
        <c:grouping val="clustered"/>
        <c:varyColors val="0"/>
        <c:ser>
          <c:idx val="0"/>
          <c:order val="0"/>
          <c:tx>
            <c:strRef>
              <c:f>'Industry Benchmark Analysis'!$B$1</c:f>
              <c:strCache>
                <c:ptCount val="1"/>
                <c:pt idx="0">
                  <c:v>Avg_ROA</c:v>
                </c:pt>
              </c:strCache>
            </c:strRef>
          </c:tx>
          <c:spPr>
            <a:solidFill>
              <a:schemeClr val="accent1"/>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Analysis'!$B$2:$B$8</c:f>
              <c:numCache>
                <c:formatCode>0.00%</c:formatCode>
                <c:ptCount val="7"/>
                <c:pt idx="0">
                  <c:v>2.588606054916933E-2</c:v>
                </c:pt>
                <c:pt idx="1">
                  <c:v>2.7647739631920222E-2</c:v>
                </c:pt>
                <c:pt idx="2">
                  <c:v>1.3577727907284939E-2</c:v>
                </c:pt>
                <c:pt idx="3">
                  <c:v>2.5590048359495764E-2</c:v>
                </c:pt>
                <c:pt idx="4">
                  <c:v>1.3574671377251121E-2</c:v>
                </c:pt>
                <c:pt idx="5">
                  <c:v>2.4598114760437845E-2</c:v>
                </c:pt>
                <c:pt idx="6">
                  <c:v>3.0809848153023699E-2</c:v>
                </c:pt>
              </c:numCache>
            </c:numRef>
          </c:val>
          <c:extLst>
            <c:ext xmlns:c16="http://schemas.microsoft.com/office/drawing/2014/chart" uri="{C3380CC4-5D6E-409C-BE32-E72D297353CC}">
              <c16:uniqueId val="{00000000-58CF-4E52-99DC-5143F61C4DC3}"/>
            </c:ext>
          </c:extLst>
        </c:ser>
        <c:ser>
          <c:idx val="1"/>
          <c:order val="1"/>
          <c:tx>
            <c:strRef>
              <c:f>'Industry Benchmark Analysis'!$C$1</c:f>
              <c:strCache>
                <c:ptCount val="1"/>
                <c:pt idx="0">
                  <c:v>Avg_ROE</c:v>
                </c:pt>
              </c:strCache>
            </c:strRef>
          </c:tx>
          <c:spPr>
            <a:solidFill>
              <a:schemeClr val="accent2"/>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Analysis'!$C$2:$C$8</c:f>
              <c:numCache>
                <c:formatCode>0.00%</c:formatCode>
                <c:ptCount val="7"/>
                <c:pt idx="0">
                  <c:v>0.17338681354850852</c:v>
                </c:pt>
                <c:pt idx="1">
                  <c:v>0.19284874365376911</c:v>
                </c:pt>
                <c:pt idx="2">
                  <c:v>0.10012466536405655</c:v>
                </c:pt>
                <c:pt idx="3">
                  <c:v>0.18648038362998381</c:v>
                </c:pt>
                <c:pt idx="4">
                  <c:v>0.14779847691232759</c:v>
                </c:pt>
                <c:pt idx="5">
                  <c:v>0.1749648785179288</c:v>
                </c:pt>
                <c:pt idx="6">
                  <c:v>0.19728833417302724</c:v>
                </c:pt>
              </c:numCache>
            </c:numRef>
          </c:val>
          <c:extLst>
            <c:ext xmlns:c16="http://schemas.microsoft.com/office/drawing/2014/chart" uri="{C3380CC4-5D6E-409C-BE32-E72D297353CC}">
              <c16:uniqueId val="{00000001-58CF-4E52-99DC-5143F61C4DC3}"/>
            </c:ext>
          </c:extLst>
        </c:ser>
        <c:ser>
          <c:idx val="2"/>
          <c:order val="2"/>
          <c:tx>
            <c:strRef>
              <c:f>'Industry Benchmark Analysis'!$D$1</c:f>
              <c:strCache>
                <c:ptCount val="1"/>
                <c:pt idx="0">
                  <c:v>Avg_NIM</c:v>
                </c:pt>
              </c:strCache>
            </c:strRef>
          </c:tx>
          <c:spPr>
            <a:solidFill>
              <a:schemeClr val="accent3"/>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Analysis'!$D$2:$D$8</c:f>
              <c:numCache>
                <c:formatCode>0.00%</c:formatCode>
                <c:ptCount val="7"/>
                <c:pt idx="0">
                  <c:v>6.7418097266389851E-2</c:v>
                </c:pt>
                <c:pt idx="1">
                  <c:v>6.1215421659503631E-2</c:v>
                </c:pt>
                <c:pt idx="2">
                  <c:v>5.015971842075588E-2</c:v>
                </c:pt>
                <c:pt idx="3">
                  <c:v>5.640008103477806E-2</c:v>
                </c:pt>
                <c:pt idx="4">
                  <c:v>5.5551018581034027E-2</c:v>
                </c:pt>
                <c:pt idx="5">
                  <c:v>5.5331572798977213E-2</c:v>
                </c:pt>
                <c:pt idx="6">
                  <c:v>5.296293944328602E-2</c:v>
                </c:pt>
              </c:numCache>
            </c:numRef>
          </c:val>
          <c:extLst>
            <c:ext xmlns:c16="http://schemas.microsoft.com/office/drawing/2014/chart" uri="{C3380CC4-5D6E-409C-BE32-E72D297353CC}">
              <c16:uniqueId val="{00000002-58CF-4E52-99DC-5143F61C4DC3}"/>
            </c:ext>
          </c:extLst>
        </c:ser>
        <c:ser>
          <c:idx val="3"/>
          <c:order val="3"/>
          <c:tx>
            <c:strRef>
              <c:f>'Industry Benchmark Analysis'!$E$1</c:f>
              <c:strCache>
                <c:ptCount val="1"/>
                <c:pt idx="0">
                  <c:v>Avg_CIR</c:v>
                </c:pt>
              </c:strCache>
            </c:strRef>
          </c:tx>
          <c:spPr>
            <a:solidFill>
              <a:schemeClr val="accent4"/>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Analysis'!$E$2:$E$8</c:f>
              <c:numCache>
                <c:formatCode>0.00%</c:formatCode>
                <c:ptCount val="7"/>
                <c:pt idx="0">
                  <c:v>0.47914859191286024</c:v>
                </c:pt>
                <c:pt idx="1">
                  <c:v>0.49458332180430276</c:v>
                </c:pt>
                <c:pt idx="2">
                  <c:v>0.53641946573553922</c:v>
                </c:pt>
                <c:pt idx="3">
                  <c:v>0.46970865704438464</c:v>
                </c:pt>
                <c:pt idx="4">
                  <c:v>0.20717420868740383</c:v>
                </c:pt>
                <c:pt idx="5">
                  <c:v>0.51524641258982551</c:v>
                </c:pt>
                <c:pt idx="6">
                  <c:v>0.42843197364786317</c:v>
                </c:pt>
              </c:numCache>
            </c:numRef>
          </c:val>
          <c:extLst>
            <c:ext xmlns:c16="http://schemas.microsoft.com/office/drawing/2014/chart" uri="{C3380CC4-5D6E-409C-BE32-E72D297353CC}">
              <c16:uniqueId val="{00000003-58CF-4E52-99DC-5143F61C4DC3}"/>
            </c:ext>
          </c:extLst>
        </c:ser>
        <c:ser>
          <c:idx val="4"/>
          <c:order val="4"/>
          <c:tx>
            <c:strRef>
              <c:f>'Industry Benchmark Analysis'!$F$1</c:f>
              <c:strCache>
                <c:ptCount val="1"/>
                <c:pt idx="0">
                  <c:v>Avg_NPL</c:v>
                </c:pt>
              </c:strCache>
            </c:strRef>
          </c:tx>
          <c:spPr>
            <a:solidFill>
              <a:schemeClr val="accent5"/>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Analysis'!$F$2:$F$8</c:f>
              <c:numCache>
                <c:formatCode>0.00%</c:formatCode>
                <c:ptCount val="7"/>
                <c:pt idx="0">
                  <c:v>2.9540774191859197E-2</c:v>
                </c:pt>
                <c:pt idx="1">
                  <c:v>2.9268536576877134E-2</c:v>
                </c:pt>
                <c:pt idx="2">
                  <c:v>4.0435122745086635E-2</c:v>
                </c:pt>
                <c:pt idx="3">
                  <c:v>2.7999129794833634E-2</c:v>
                </c:pt>
                <c:pt idx="4">
                  <c:v>5.6194050619561939E-2</c:v>
                </c:pt>
                <c:pt idx="5">
                  <c:v>6.8905188663061279E-2</c:v>
                </c:pt>
                <c:pt idx="6">
                  <c:v>0.13434615778492351</c:v>
                </c:pt>
              </c:numCache>
            </c:numRef>
          </c:val>
          <c:extLst>
            <c:ext xmlns:c16="http://schemas.microsoft.com/office/drawing/2014/chart" uri="{C3380CC4-5D6E-409C-BE32-E72D297353CC}">
              <c16:uniqueId val="{00000004-58CF-4E52-99DC-5143F61C4DC3}"/>
            </c:ext>
          </c:extLst>
        </c:ser>
        <c:ser>
          <c:idx val="5"/>
          <c:order val="5"/>
          <c:tx>
            <c:strRef>
              <c:f>'Industry Benchmark Analysis'!$G$1</c:f>
              <c:strCache>
                <c:ptCount val="1"/>
                <c:pt idx="0">
                  <c:v>Avg_Loan_to_Asset</c:v>
                </c:pt>
              </c:strCache>
            </c:strRef>
          </c:tx>
          <c:spPr>
            <a:solidFill>
              <a:schemeClr val="accent6"/>
            </a:solidFill>
            <a:ln>
              <a:noFill/>
            </a:ln>
            <a:effectLst/>
          </c:spPr>
          <c:invertIfNegative val="0"/>
          <c:cat>
            <c:numRef>
              <c:f>'Industry Benchmark Analysis'!$A$2:$A$8</c:f>
              <c:numCache>
                <c:formatCode>General</c:formatCode>
                <c:ptCount val="7"/>
                <c:pt idx="0">
                  <c:v>2018</c:v>
                </c:pt>
                <c:pt idx="1">
                  <c:v>2019</c:v>
                </c:pt>
                <c:pt idx="2">
                  <c:v>2020</c:v>
                </c:pt>
                <c:pt idx="3">
                  <c:v>2021</c:v>
                </c:pt>
                <c:pt idx="4">
                  <c:v>2022</c:v>
                </c:pt>
                <c:pt idx="5">
                  <c:v>2023</c:v>
                </c:pt>
                <c:pt idx="6">
                  <c:v>2024</c:v>
                </c:pt>
              </c:numCache>
            </c:numRef>
          </c:cat>
          <c:val>
            <c:numRef>
              <c:f>'Industry Benchmark Analysis'!$G$2:$G$8</c:f>
              <c:numCache>
                <c:formatCode>0.00%</c:formatCode>
                <c:ptCount val="7"/>
                <c:pt idx="0">
                  <c:v>0.37976000064459486</c:v>
                </c:pt>
                <c:pt idx="1">
                  <c:v>0.37657148366191306</c:v>
                </c:pt>
                <c:pt idx="2">
                  <c:v>0.37030059488706413</c:v>
                </c:pt>
                <c:pt idx="3">
                  <c:v>0.37702835849850419</c:v>
                </c:pt>
                <c:pt idx="4">
                  <c:v>0.32789745793346292</c:v>
                </c:pt>
                <c:pt idx="5">
                  <c:v>0.34558623759141782</c:v>
                </c:pt>
                <c:pt idx="6">
                  <c:v>0.35125127050583216</c:v>
                </c:pt>
              </c:numCache>
            </c:numRef>
          </c:val>
          <c:extLst>
            <c:ext xmlns:c16="http://schemas.microsoft.com/office/drawing/2014/chart" uri="{C3380CC4-5D6E-409C-BE32-E72D297353CC}">
              <c16:uniqueId val="{00000005-58CF-4E52-99DC-5143F61C4DC3}"/>
            </c:ext>
          </c:extLst>
        </c:ser>
        <c:dLbls>
          <c:showLegendKey val="0"/>
          <c:showVal val="0"/>
          <c:showCatName val="0"/>
          <c:showSerName val="0"/>
          <c:showPercent val="0"/>
          <c:showBubbleSize val="0"/>
        </c:dLbls>
        <c:gapWidth val="219"/>
        <c:overlap val="-27"/>
        <c:axId val="1513808496"/>
        <c:axId val="1513813072"/>
      </c:barChart>
      <c:catAx>
        <c:axId val="15138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13813072"/>
        <c:crosses val="autoZero"/>
        <c:auto val="1"/>
        <c:lblAlgn val="ctr"/>
        <c:lblOffset val="100"/>
        <c:noMultiLvlLbl val="0"/>
      </c:catAx>
      <c:valAx>
        <c:axId val="1513813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13808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Return</a:t>
            </a:r>
            <a:r>
              <a:rPr lang="en-US" sz="1000" b="1" baseline="0">
                <a:latin typeface="Times New Roman" panose="02020603050405020304" pitchFamily="18" charset="0"/>
                <a:cs typeface="Times New Roman" panose="02020603050405020304" pitchFamily="18" charset="0"/>
              </a:rPr>
              <a:t> on Assets (ROA) Ratio - All Banks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'ROA Trend'!$B$16</c:f>
              <c:strCache>
                <c:ptCount val="1"/>
                <c:pt idx="0">
                  <c:v>Basis</c:v>
                </c:pt>
              </c:strCache>
            </c:strRef>
          </c:tx>
          <c:spPr>
            <a:ln w="28575" cap="rnd">
              <a:solidFill>
                <a:schemeClr val="tx1"/>
              </a:solidFill>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Trend'!$B$17:$B$23</c:f>
              <c:numCache>
                <c:formatCode>0.00%</c:formatCode>
                <c:ptCount val="7"/>
                <c:pt idx="0">
                  <c:v>2.7961425948746132E-2</c:v>
                </c:pt>
                <c:pt idx="1">
                  <c:v>2.3800156980165792E-2</c:v>
                </c:pt>
                <c:pt idx="2">
                  <c:v>1.2850529890042843E-2</c:v>
                </c:pt>
                <c:pt idx="3">
                  <c:v>1.9298209634749083E-2</c:v>
                </c:pt>
                <c:pt idx="4">
                  <c:v>2.8927202503894023E-2</c:v>
                </c:pt>
                <c:pt idx="5">
                  <c:v>2.26263652407706E-2</c:v>
                </c:pt>
                <c:pt idx="6">
                  <c:v>2.2786899624440887E-2</c:v>
                </c:pt>
              </c:numCache>
            </c:numRef>
          </c:val>
          <c:smooth val="0"/>
          <c:extLst>
            <c:ext xmlns:c16="http://schemas.microsoft.com/office/drawing/2014/chart" uri="{C3380CC4-5D6E-409C-BE32-E72D297353CC}">
              <c16:uniqueId val="{00000000-13E9-4F55-8ADF-7E5D67220937}"/>
            </c:ext>
          </c:extLst>
        </c:ser>
        <c:ser>
          <c:idx val="1"/>
          <c:order val="1"/>
          <c:tx>
            <c:strRef>
              <c:f>'ROA Trend'!$C$16</c:f>
              <c:strCache>
                <c:ptCount val="1"/>
                <c:pt idx="0">
                  <c:v>BoG</c:v>
                </c:pt>
              </c:strCache>
            </c:strRef>
          </c:tx>
          <c:spPr>
            <a:ln w="31750" cap="rnd">
              <a:solidFill>
                <a:schemeClr val="accent2"/>
              </a:solidFill>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Trend'!$C$17:$C$23</c:f>
              <c:numCache>
                <c:formatCode>0.00%</c:formatCode>
                <c:ptCount val="7"/>
                <c:pt idx="0">
                  <c:v>2.5311241183831466E-2</c:v>
                </c:pt>
                <c:pt idx="1">
                  <c:v>3.1229029546552618E-2</c:v>
                </c:pt>
                <c:pt idx="2">
                  <c:v>1.5289913238280335E-2</c:v>
                </c:pt>
                <c:pt idx="3">
                  <c:v>3.311012595327642E-2</c:v>
                </c:pt>
                <c:pt idx="4">
                  <c:v>3.8503291494164274E-2</c:v>
                </c:pt>
                <c:pt idx="5">
                  <c:v>4.4634970989857491E-2</c:v>
                </c:pt>
                <c:pt idx="6">
                  <c:v>5.2015563130616345E-2</c:v>
                </c:pt>
              </c:numCache>
            </c:numRef>
          </c:val>
          <c:smooth val="0"/>
          <c:extLst>
            <c:ext xmlns:c16="http://schemas.microsoft.com/office/drawing/2014/chart" uri="{C3380CC4-5D6E-409C-BE32-E72D297353CC}">
              <c16:uniqueId val="{00000001-13E9-4F55-8ADF-7E5D67220937}"/>
            </c:ext>
          </c:extLst>
        </c:ser>
        <c:ser>
          <c:idx val="2"/>
          <c:order val="2"/>
          <c:tx>
            <c:strRef>
              <c:f>'ROA Trend'!$D$16</c:f>
              <c:strCache>
                <c:ptCount val="1"/>
                <c:pt idx="0">
                  <c:v>Credo</c:v>
                </c:pt>
              </c:strCache>
            </c:strRef>
          </c:tx>
          <c:spPr>
            <a:ln w="28575" cap="rnd">
              <a:solidFill>
                <a:srgbClr val="009242"/>
              </a:solidFill>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Trend'!$D$17:$D$23</c:f>
              <c:numCache>
                <c:formatCode>0.00%</c:formatCode>
                <c:ptCount val="7"/>
                <c:pt idx="0">
                  <c:v>2.9024340282394714E-2</c:v>
                </c:pt>
                <c:pt idx="1">
                  <c:v>3.3062559636903945E-2</c:v>
                </c:pt>
                <c:pt idx="2">
                  <c:v>9.1995275689286757E-3</c:v>
                </c:pt>
                <c:pt idx="3">
                  <c:v>2.3643813770991857E-2</c:v>
                </c:pt>
                <c:pt idx="4">
                  <c:v>2.2934850182330817E-2</c:v>
                </c:pt>
                <c:pt idx="5">
                  <c:v>1.7637756728815141E-2</c:v>
                </c:pt>
                <c:pt idx="6">
                  <c:v>2.4772791202616915E-2</c:v>
                </c:pt>
              </c:numCache>
            </c:numRef>
          </c:val>
          <c:smooth val="0"/>
          <c:extLst>
            <c:ext xmlns:c16="http://schemas.microsoft.com/office/drawing/2014/chart" uri="{C3380CC4-5D6E-409C-BE32-E72D297353CC}">
              <c16:uniqueId val="{00000002-13E9-4F55-8ADF-7E5D67220937}"/>
            </c:ext>
          </c:extLst>
        </c:ser>
        <c:ser>
          <c:idx val="3"/>
          <c:order val="3"/>
          <c:tx>
            <c:strRef>
              <c:f>'ROA Trend'!$E$16</c:f>
              <c:strCache>
                <c:ptCount val="1"/>
                <c:pt idx="0">
                  <c:v>TBC</c:v>
                </c:pt>
              </c:strCache>
            </c:strRef>
          </c:tx>
          <c:spPr>
            <a:ln w="28575" cap="rnd">
              <a:solidFill>
                <a:srgbClr val="00B0F0"/>
              </a:solidFill>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Trend'!$E$17:$E$23</c:f>
              <c:numCache>
                <c:formatCode>0.00%</c:formatCode>
                <c:ptCount val="7"/>
                <c:pt idx="0">
                  <c:v>3.0524740220934873E-2</c:v>
                </c:pt>
                <c:pt idx="1">
                  <c:v>3.2327783469343417E-2</c:v>
                </c:pt>
                <c:pt idx="2">
                  <c:v>1.6570701117635468E-2</c:v>
                </c:pt>
                <c:pt idx="3">
                  <c:v>3.630373383931608E-2</c:v>
                </c:pt>
                <c:pt idx="4">
                  <c:v>3.9072135738335331E-2</c:v>
                </c:pt>
                <c:pt idx="5">
                  <c:v>3.7239776422506525E-2</c:v>
                </c:pt>
                <c:pt idx="6">
                  <c:v>3.5857124490320157E-2</c:v>
                </c:pt>
              </c:numCache>
            </c:numRef>
          </c:val>
          <c:smooth val="0"/>
          <c:extLst>
            <c:ext xmlns:c16="http://schemas.microsoft.com/office/drawing/2014/chart" uri="{C3380CC4-5D6E-409C-BE32-E72D297353CC}">
              <c16:uniqueId val="{00000003-13E9-4F55-8ADF-7E5D67220937}"/>
            </c:ext>
          </c:extLst>
        </c:ser>
        <c:ser>
          <c:idx val="4"/>
          <c:order val="4"/>
          <c:tx>
            <c:strRef>
              <c:f>'ROA Trend'!$F$16</c:f>
              <c:strCache>
                <c:ptCount val="1"/>
                <c:pt idx="0">
                  <c:v>VTB</c:v>
                </c:pt>
              </c:strCache>
            </c:strRef>
          </c:tx>
          <c:spPr>
            <a:ln w="28575" cap="rnd">
              <a:solidFill>
                <a:srgbClr val="7030A0"/>
              </a:solidFill>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Trend'!$F$17:$F$23</c:f>
              <c:numCache>
                <c:formatCode>0.00%</c:formatCode>
                <c:ptCount val="7"/>
                <c:pt idx="0">
                  <c:v>1.6608555109939464E-2</c:v>
                </c:pt>
                <c:pt idx="1">
                  <c:v>1.7819168526635329E-2</c:v>
                </c:pt>
                <c:pt idx="2">
                  <c:v>1.3977967721537367E-2</c:v>
                </c:pt>
                <c:pt idx="3">
                  <c:v>1.5594358599145396E-2</c:v>
                </c:pt>
                <c:pt idx="4">
                  <c:v>-6.1564123032468845E-2</c:v>
                </c:pt>
                <c:pt idx="5">
                  <c:v>8.5170442023947798E-4</c:v>
                </c:pt>
                <c:pt idx="6">
                  <c:v>1.8616862317124193E-2</c:v>
                </c:pt>
              </c:numCache>
            </c:numRef>
          </c:val>
          <c:smooth val="0"/>
          <c:extLst>
            <c:ext xmlns:c16="http://schemas.microsoft.com/office/drawing/2014/chart" uri="{C3380CC4-5D6E-409C-BE32-E72D297353CC}">
              <c16:uniqueId val="{00000004-13E9-4F55-8ADF-7E5D67220937}"/>
            </c:ext>
          </c:extLst>
        </c:ser>
        <c:ser>
          <c:idx val="5"/>
          <c:order val="5"/>
          <c:tx>
            <c:strRef>
              <c:f>'ROA Trend'!$G$16</c:f>
              <c:strCache>
                <c:ptCount val="1"/>
                <c:pt idx="0">
                  <c:v>Industry</c:v>
                </c:pt>
              </c:strCache>
            </c:strRef>
          </c:tx>
          <c:spPr>
            <a:ln w="38100" cap="rnd">
              <a:solidFill>
                <a:srgbClr val="FF0000"/>
              </a:solidFill>
              <a:prstDash val="sysDash"/>
              <a:round/>
            </a:ln>
            <a:effectLst/>
          </c:spPr>
          <c:marker>
            <c:symbol val="none"/>
          </c:marker>
          <c:cat>
            <c:numRef>
              <c:f>'ROA Trend'!$A$17:$A$23</c:f>
              <c:numCache>
                <c:formatCode>General</c:formatCode>
                <c:ptCount val="7"/>
                <c:pt idx="0">
                  <c:v>2018</c:v>
                </c:pt>
                <c:pt idx="1">
                  <c:v>2019</c:v>
                </c:pt>
                <c:pt idx="2">
                  <c:v>2020</c:v>
                </c:pt>
                <c:pt idx="3">
                  <c:v>2021</c:v>
                </c:pt>
                <c:pt idx="4">
                  <c:v>2022</c:v>
                </c:pt>
                <c:pt idx="5">
                  <c:v>2023</c:v>
                </c:pt>
                <c:pt idx="6">
                  <c:v>2024</c:v>
                </c:pt>
              </c:numCache>
            </c:numRef>
          </c:cat>
          <c:val>
            <c:numRef>
              <c:f>'ROA Trend'!$G$17:$G$23</c:f>
              <c:numCache>
                <c:formatCode>0.00%</c:formatCode>
                <c:ptCount val="7"/>
                <c:pt idx="0">
                  <c:v>2.5899999999999999E-2</c:v>
                </c:pt>
                <c:pt idx="1">
                  <c:v>2.76E-2</c:v>
                </c:pt>
                <c:pt idx="2">
                  <c:v>1.3599999999999999E-2</c:v>
                </c:pt>
                <c:pt idx="3">
                  <c:v>2.5600000000000001E-2</c:v>
                </c:pt>
                <c:pt idx="4">
                  <c:v>1.3599999999999999E-2</c:v>
                </c:pt>
                <c:pt idx="5">
                  <c:v>2.46E-2</c:v>
                </c:pt>
                <c:pt idx="6">
                  <c:v>3.0800000000000001E-2</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sz="1000" b="1">
                <a:latin typeface="Times New Roman" panose="02020603050405020304" pitchFamily="18" charset="0"/>
                <a:cs typeface="Times New Roman" panose="02020603050405020304" pitchFamily="18" charset="0"/>
              </a:rPr>
              <a:t>Return</a:t>
            </a:r>
            <a:r>
              <a:rPr lang="en-US" sz="1000" b="1" baseline="0">
                <a:latin typeface="Times New Roman" panose="02020603050405020304" pitchFamily="18" charset="0"/>
                <a:cs typeface="Times New Roman" panose="02020603050405020304" pitchFamily="18" charset="0"/>
              </a:rPr>
              <a:t> on Equity (ROE) Ratio - All Banks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'ROE Trend'!$B$17</c:f>
              <c:strCache>
                <c:ptCount val="1"/>
                <c:pt idx="0">
                  <c:v>Basis</c:v>
                </c:pt>
              </c:strCache>
            </c:strRef>
          </c:tx>
          <c:spPr>
            <a:ln w="28575" cap="rnd">
              <a:solidFill>
                <a:schemeClr val="tx1"/>
              </a:solidFill>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Trend'!$B$18:$B$24</c:f>
              <c:numCache>
                <c:formatCode>0.00%</c:formatCode>
                <c:ptCount val="7"/>
                <c:pt idx="0">
                  <c:v>0.16107985529938987</c:v>
                </c:pt>
                <c:pt idx="1">
                  <c:v>0.14001860562820254</c:v>
                </c:pt>
                <c:pt idx="2">
                  <c:v>8.1754786271703614E-2</c:v>
                </c:pt>
                <c:pt idx="3">
                  <c:v>0.11685988838322266</c:v>
                </c:pt>
                <c:pt idx="4">
                  <c:v>0.18378441428551928</c:v>
                </c:pt>
                <c:pt idx="5">
                  <c:v>0.1577738263923589</c:v>
                </c:pt>
                <c:pt idx="6">
                  <c:v>0.15162362833193715</c:v>
                </c:pt>
              </c:numCache>
            </c:numRef>
          </c:val>
          <c:smooth val="0"/>
          <c:extLst>
            <c:ext xmlns:c16="http://schemas.microsoft.com/office/drawing/2014/chart" uri="{C3380CC4-5D6E-409C-BE32-E72D297353CC}">
              <c16:uniqueId val="{00000000-13E9-4F55-8ADF-7E5D67220937}"/>
            </c:ext>
          </c:extLst>
        </c:ser>
        <c:ser>
          <c:idx val="1"/>
          <c:order val="1"/>
          <c:tx>
            <c:strRef>
              <c:f>'ROE Trend'!$C$17</c:f>
              <c:strCache>
                <c:ptCount val="1"/>
                <c:pt idx="0">
                  <c:v>BoG</c:v>
                </c:pt>
              </c:strCache>
            </c:strRef>
          </c:tx>
          <c:spPr>
            <a:ln w="31750" cap="rnd">
              <a:solidFill>
                <a:schemeClr val="accent2"/>
              </a:solidFill>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Trend'!$C$18:$C$24</c:f>
              <c:numCache>
                <c:formatCode>0.00%</c:formatCode>
                <c:ptCount val="7"/>
                <c:pt idx="0">
                  <c:v>0.21383981746353115</c:v>
                </c:pt>
                <c:pt idx="1">
                  <c:v>0.26934336372647488</c:v>
                </c:pt>
                <c:pt idx="2">
                  <c:v>0.13426120918668058</c:v>
                </c:pt>
                <c:pt idx="3">
                  <c:v>0.26854694889794661</c:v>
                </c:pt>
                <c:pt idx="4">
                  <c:v>0.33980938209235756</c:v>
                </c:pt>
                <c:pt idx="5">
                  <c:v>0.32374107006101643</c:v>
                </c:pt>
                <c:pt idx="6">
                  <c:v>0.36457034471841843</c:v>
                </c:pt>
              </c:numCache>
            </c:numRef>
          </c:val>
          <c:smooth val="0"/>
          <c:extLst>
            <c:ext xmlns:c16="http://schemas.microsoft.com/office/drawing/2014/chart" uri="{C3380CC4-5D6E-409C-BE32-E72D297353CC}">
              <c16:uniqueId val="{00000001-13E9-4F55-8ADF-7E5D67220937}"/>
            </c:ext>
          </c:extLst>
        </c:ser>
        <c:ser>
          <c:idx val="2"/>
          <c:order val="2"/>
          <c:tx>
            <c:strRef>
              <c:f>'ROE Trend'!$D$17</c:f>
              <c:strCache>
                <c:ptCount val="1"/>
                <c:pt idx="0">
                  <c:v>Credo</c:v>
                </c:pt>
              </c:strCache>
            </c:strRef>
          </c:tx>
          <c:spPr>
            <a:ln w="28575" cap="rnd">
              <a:solidFill>
                <a:srgbClr val="009242"/>
              </a:solidFill>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Trend'!$D$18:$D$24</c:f>
              <c:numCache>
                <c:formatCode>0.00%</c:formatCode>
                <c:ptCount val="7"/>
                <c:pt idx="0">
                  <c:v>0.16156225119725381</c:v>
                </c:pt>
                <c:pt idx="1">
                  <c:v>0.20937394786738256</c:v>
                </c:pt>
                <c:pt idx="2">
                  <c:v>6.8650695801167144E-2</c:v>
                </c:pt>
                <c:pt idx="3">
                  <c:v>0.18925167998886452</c:v>
                </c:pt>
                <c:pt idx="4">
                  <c:v>0.1849828052854568</c:v>
                </c:pt>
                <c:pt idx="5">
                  <c:v>0.14375715320726187</c:v>
                </c:pt>
                <c:pt idx="6">
                  <c:v>0.20044585726723971</c:v>
                </c:pt>
              </c:numCache>
            </c:numRef>
          </c:val>
          <c:smooth val="0"/>
          <c:extLst>
            <c:ext xmlns:c16="http://schemas.microsoft.com/office/drawing/2014/chart" uri="{C3380CC4-5D6E-409C-BE32-E72D297353CC}">
              <c16:uniqueId val="{00000002-13E9-4F55-8ADF-7E5D67220937}"/>
            </c:ext>
          </c:extLst>
        </c:ser>
        <c:ser>
          <c:idx val="3"/>
          <c:order val="3"/>
          <c:tx>
            <c:strRef>
              <c:f>'ROE Trend'!$E$17</c:f>
              <c:strCache>
                <c:ptCount val="1"/>
                <c:pt idx="0">
                  <c:v>TBC</c:v>
                </c:pt>
              </c:strCache>
            </c:strRef>
          </c:tx>
          <c:spPr>
            <a:ln w="28575" cap="rnd">
              <a:solidFill>
                <a:srgbClr val="00B0F0"/>
              </a:solidFill>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Trend'!$E$18:$E$24</c:f>
              <c:numCache>
                <c:formatCode>0.00%</c:formatCode>
                <c:ptCount val="7"/>
                <c:pt idx="0">
                  <c:v>0.21883180783203737</c:v>
                </c:pt>
                <c:pt idx="1">
                  <c:v>0.23503343514662645</c:v>
                </c:pt>
                <c:pt idx="2">
                  <c:v>0.12579892537892423</c:v>
                </c:pt>
                <c:pt idx="3">
                  <c:v>0.26259007653146654</c:v>
                </c:pt>
                <c:pt idx="4">
                  <c:v>0.26046171665293805</c:v>
                </c:pt>
                <c:pt idx="5">
                  <c:v>0.24830679188165411</c:v>
                </c:pt>
                <c:pt idx="6">
                  <c:v>0.24400124753272176</c:v>
                </c:pt>
              </c:numCache>
            </c:numRef>
          </c:val>
          <c:smooth val="0"/>
          <c:extLst>
            <c:ext xmlns:c16="http://schemas.microsoft.com/office/drawing/2014/chart" uri="{C3380CC4-5D6E-409C-BE32-E72D297353CC}">
              <c16:uniqueId val="{00000003-13E9-4F55-8ADF-7E5D67220937}"/>
            </c:ext>
          </c:extLst>
        </c:ser>
        <c:ser>
          <c:idx val="4"/>
          <c:order val="4"/>
          <c:tx>
            <c:strRef>
              <c:f>'ROE Trend'!$F$17</c:f>
              <c:strCache>
                <c:ptCount val="1"/>
                <c:pt idx="0">
                  <c:v>VTB</c:v>
                </c:pt>
              </c:strCache>
            </c:strRef>
          </c:tx>
          <c:spPr>
            <a:ln w="28575" cap="rnd">
              <a:solidFill>
                <a:srgbClr val="7030A0"/>
              </a:solidFill>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Trend'!$F$18:$F$24</c:f>
              <c:numCache>
                <c:formatCode>0.00%</c:formatCode>
                <c:ptCount val="7"/>
                <c:pt idx="0">
                  <c:v>0.11162033595033022</c:v>
                </c:pt>
                <c:pt idx="1">
                  <c:v>0.11047436590015909</c:v>
                </c:pt>
                <c:pt idx="2">
                  <c:v>9.0157710181807141E-2</c:v>
                </c:pt>
                <c:pt idx="3">
                  <c:v>9.515332434841875E-2</c:v>
                </c:pt>
                <c:pt idx="4">
                  <c:v>-0.23004593375463364</c:v>
                </c:pt>
                <c:pt idx="5">
                  <c:v>1.2455510473527369E-3</c:v>
                </c:pt>
                <c:pt idx="6">
                  <c:v>2.5800593014819236E-2</c:v>
                </c:pt>
              </c:numCache>
            </c:numRef>
          </c:val>
          <c:smooth val="0"/>
          <c:extLst>
            <c:ext xmlns:c16="http://schemas.microsoft.com/office/drawing/2014/chart" uri="{C3380CC4-5D6E-409C-BE32-E72D297353CC}">
              <c16:uniqueId val="{00000004-13E9-4F55-8ADF-7E5D67220937}"/>
            </c:ext>
          </c:extLst>
        </c:ser>
        <c:ser>
          <c:idx val="5"/>
          <c:order val="5"/>
          <c:tx>
            <c:strRef>
              <c:f>'ROE Trend'!$G$17</c:f>
              <c:strCache>
                <c:ptCount val="1"/>
                <c:pt idx="0">
                  <c:v>Industry</c:v>
                </c:pt>
              </c:strCache>
            </c:strRef>
          </c:tx>
          <c:spPr>
            <a:ln w="38100" cap="rnd">
              <a:solidFill>
                <a:srgbClr val="FF0000"/>
              </a:solidFill>
              <a:prstDash val="sysDash"/>
              <a:round/>
            </a:ln>
            <a:effectLst/>
          </c:spPr>
          <c:marker>
            <c:symbol val="none"/>
          </c:marker>
          <c:cat>
            <c:numRef>
              <c:f>'ROE Trend'!$A$18:$A$24</c:f>
              <c:numCache>
                <c:formatCode>General</c:formatCode>
                <c:ptCount val="7"/>
                <c:pt idx="0">
                  <c:v>2018</c:v>
                </c:pt>
                <c:pt idx="1">
                  <c:v>2019</c:v>
                </c:pt>
                <c:pt idx="2">
                  <c:v>2020</c:v>
                </c:pt>
                <c:pt idx="3">
                  <c:v>2021</c:v>
                </c:pt>
                <c:pt idx="4">
                  <c:v>2022</c:v>
                </c:pt>
                <c:pt idx="5">
                  <c:v>2023</c:v>
                </c:pt>
                <c:pt idx="6">
                  <c:v>2024</c:v>
                </c:pt>
              </c:numCache>
            </c:numRef>
          </c:cat>
          <c:val>
            <c:numRef>
              <c:f>'ROE Trend'!$G$18:$G$24</c:f>
              <c:numCache>
                <c:formatCode>0.00%</c:formatCode>
                <c:ptCount val="7"/>
                <c:pt idx="0">
                  <c:v>0.1734</c:v>
                </c:pt>
                <c:pt idx="1">
                  <c:v>0.1928</c:v>
                </c:pt>
                <c:pt idx="2">
                  <c:v>0.10009999999999999</c:v>
                </c:pt>
                <c:pt idx="3">
                  <c:v>0.1865</c:v>
                </c:pt>
                <c:pt idx="4">
                  <c:v>0.14779999999999999</c:v>
                </c:pt>
                <c:pt idx="5">
                  <c:v>0.17499999999999999</c:v>
                </c:pt>
                <c:pt idx="6">
                  <c:v>0.1973</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Net Interest Margin (NIM) Ratio - All Banks</a:t>
            </a:r>
            <a:r>
              <a:rPr lang="en-US" sz="1000" b="1" baseline="0">
                <a:latin typeface="Times New Roman" panose="02020603050405020304" pitchFamily="18" charset="0"/>
                <a:cs typeface="Times New Roman" panose="02020603050405020304" pitchFamily="18" charset="0"/>
              </a:rPr>
              <a:t>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'NIM_approx Trend'!$B$17</c:f>
              <c:strCache>
                <c:ptCount val="1"/>
                <c:pt idx="0">
                  <c:v>Basis</c:v>
                </c:pt>
              </c:strCache>
            </c:strRef>
          </c:tx>
          <c:spPr>
            <a:ln w="28575" cap="rnd">
              <a:solidFill>
                <a:schemeClr val="tx1"/>
              </a:solidFill>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Trend'!$B$18:$B$24</c:f>
              <c:numCache>
                <c:formatCode>0.00%</c:formatCode>
                <c:ptCount val="7"/>
                <c:pt idx="0">
                  <c:v>4.1777183605390893E-2</c:v>
                </c:pt>
                <c:pt idx="1">
                  <c:v>3.7897766507624886E-2</c:v>
                </c:pt>
                <c:pt idx="2">
                  <c:v>2.8858912631146129E-2</c:v>
                </c:pt>
                <c:pt idx="3">
                  <c:v>3.3972572042530992E-2</c:v>
                </c:pt>
                <c:pt idx="4">
                  <c:v>4.915640060351268E-2</c:v>
                </c:pt>
                <c:pt idx="5">
                  <c:v>4.020391833260889E-2</c:v>
                </c:pt>
                <c:pt idx="6">
                  <c:v>4.0906320306556949E-2</c:v>
                </c:pt>
              </c:numCache>
            </c:numRef>
          </c:val>
          <c:smooth val="0"/>
          <c:extLst>
            <c:ext xmlns:c16="http://schemas.microsoft.com/office/drawing/2014/chart" uri="{C3380CC4-5D6E-409C-BE32-E72D297353CC}">
              <c16:uniqueId val="{00000000-13E9-4F55-8ADF-7E5D67220937}"/>
            </c:ext>
          </c:extLst>
        </c:ser>
        <c:ser>
          <c:idx val="1"/>
          <c:order val="1"/>
          <c:tx>
            <c:strRef>
              <c:f>'NIM_approx Trend'!$C$17</c:f>
              <c:strCache>
                <c:ptCount val="1"/>
                <c:pt idx="0">
                  <c:v>BoG</c:v>
                </c:pt>
              </c:strCache>
            </c:strRef>
          </c:tx>
          <c:spPr>
            <a:ln w="31750" cap="rnd">
              <a:solidFill>
                <a:schemeClr val="accent2"/>
              </a:solidFill>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Trend'!$C$18:$C$24</c:f>
              <c:numCache>
                <c:formatCode>0.00%</c:formatCode>
                <c:ptCount val="7"/>
                <c:pt idx="0">
                  <c:v>5.3900370917610227E-2</c:v>
                </c:pt>
                <c:pt idx="1">
                  <c:v>4.7710751820344198E-2</c:v>
                </c:pt>
                <c:pt idx="2">
                  <c:v>3.8162475669112045E-2</c:v>
                </c:pt>
                <c:pt idx="3">
                  <c:v>4.1882621576309807E-2</c:v>
                </c:pt>
                <c:pt idx="4">
                  <c:v>4.5590934840234305E-2</c:v>
                </c:pt>
                <c:pt idx="5">
                  <c:v>5.3077945196787317E-2</c:v>
                </c:pt>
                <c:pt idx="6">
                  <c:v>5.2152769500529612E-2</c:v>
                </c:pt>
              </c:numCache>
            </c:numRef>
          </c:val>
          <c:smooth val="0"/>
          <c:extLst>
            <c:ext xmlns:c16="http://schemas.microsoft.com/office/drawing/2014/chart" uri="{C3380CC4-5D6E-409C-BE32-E72D297353CC}">
              <c16:uniqueId val="{00000001-13E9-4F55-8ADF-7E5D67220937}"/>
            </c:ext>
          </c:extLst>
        </c:ser>
        <c:ser>
          <c:idx val="2"/>
          <c:order val="2"/>
          <c:tx>
            <c:strRef>
              <c:f>'NIM_approx Trend'!$D$17</c:f>
              <c:strCache>
                <c:ptCount val="1"/>
                <c:pt idx="0">
                  <c:v>Credo</c:v>
                </c:pt>
              </c:strCache>
            </c:strRef>
          </c:tx>
          <c:spPr>
            <a:ln w="28575" cap="rnd">
              <a:solidFill>
                <a:srgbClr val="009242"/>
              </a:solidFill>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Trend'!$D$18:$D$24</c:f>
              <c:numCache>
                <c:formatCode>0.00%</c:formatCode>
                <c:ptCount val="7"/>
                <c:pt idx="0">
                  <c:v>0.14543076154573192</c:v>
                </c:pt>
                <c:pt idx="1">
                  <c:v>0.13488727400936282</c:v>
                </c:pt>
                <c:pt idx="2">
                  <c:v>0.10641391265447632</c:v>
                </c:pt>
                <c:pt idx="3">
                  <c:v>0.12245189762376774</c:v>
                </c:pt>
                <c:pt idx="4">
                  <c:v>0.11160771468480243</c:v>
                </c:pt>
                <c:pt idx="5">
                  <c:v>0.10901716517495295</c:v>
                </c:pt>
                <c:pt idx="6">
                  <c:v>0.10921224293331802</c:v>
                </c:pt>
              </c:numCache>
            </c:numRef>
          </c:val>
          <c:smooth val="0"/>
          <c:extLst>
            <c:ext xmlns:c16="http://schemas.microsoft.com/office/drawing/2014/chart" uri="{C3380CC4-5D6E-409C-BE32-E72D297353CC}">
              <c16:uniqueId val="{00000002-13E9-4F55-8ADF-7E5D67220937}"/>
            </c:ext>
          </c:extLst>
        </c:ser>
        <c:ser>
          <c:idx val="3"/>
          <c:order val="3"/>
          <c:tx>
            <c:strRef>
              <c:f>'NIM_approx Trend'!$E$17</c:f>
              <c:strCache>
                <c:ptCount val="1"/>
                <c:pt idx="0">
                  <c:v>TBC</c:v>
                </c:pt>
              </c:strCache>
            </c:strRef>
          </c:tx>
          <c:spPr>
            <a:ln w="28575" cap="rnd">
              <a:solidFill>
                <a:srgbClr val="00B0F0"/>
              </a:solidFill>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Trend'!$E$18:$E$24</c:f>
              <c:numCache>
                <c:formatCode>0.00%</c:formatCode>
                <c:ptCount val="7"/>
                <c:pt idx="0">
                  <c:v>5.428359745018032E-2</c:v>
                </c:pt>
                <c:pt idx="1">
                  <c:v>4.6993578638265622E-2</c:v>
                </c:pt>
                <c:pt idx="2">
                  <c:v>4.0667593976059305E-2</c:v>
                </c:pt>
                <c:pt idx="3">
                  <c:v>4.2886508286211128E-2</c:v>
                </c:pt>
                <c:pt idx="4">
                  <c:v>4.7474893410205464E-2</c:v>
                </c:pt>
                <c:pt idx="5">
                  <c:v>4.9770128678223176E-2</c:v>
                </c:pt>
                <c:pt idx="6">
                  <c:v>4.5832461547134808E-2</c:v>
                </c:pt>
              </c:numCache>
            </c:numRef>
          </c:val>
          <c:smooth val="0"/>
          <c:extLst>
            <c:ext xmlns:c16="http://schemas.microsoft.com/office/drawing/2014/chart" uri="{C3380CC4-5D6E-409C-BE32-E72D297353CC}">
              <c16:uniqueId val="{00000003-13E9-4F55-8ADF-7E5D67220937}"/>
            </c:ext>
          </c:extLst>
        </c:ser>
        <c:ser>
          <c:idx val="4"/>
          <c:order val="4"/>
          <c:tx>
            <c:strRef>
              <c:f>'NIM_approx Trend'!$F$17</c:f>
              <c:strCache>
                <c:ptCount val="1"/>
                <c:pt idx="0">
                  <c:v>VTB</c:v>
                </c:pt>
              </c:strCache>
            </c:strRef>
          </c:tx>
          <c:spPr>
            <a:ln w="28575" cap="rnd">
              <a:solidFill>
                <a:srgbClr val="7030A0"/>
              </a:solidFill>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Trend'!$F$18:$F$24</c:f>
              <c:numCache>
                <c:formatCode>0.00%</c:formatCode>
                <c:ptCount val="7"/>
                <c:pt idx="0">
                  <c:v>4.1698572813035892E-2</c:v>
                </c:pt>
                <c:pt idx="1">
                  <c:v>3.8587737321920598E-2</c:v>
                </c:pt>
                <c:pt idx="2">
                  <c:v>3.669569717298559E-2</c:v>
                </c:pt>
                <c:pt idx="3">
                  <c:v>4.0806805645070658E-2</c:v>
                </c:pt>
                <c:pt idx="4">
                  <c:v>2.3925149366415276E-2</c:v>
                </c:pt>
                <c:pt idx="5">
                  <c:v>2.4588706612313729E-2</c:v>
                </c:pt>
                <c:pt idx="6">
                  <c:v>1.6710902928890669E-2</c:v>
                </c:pt>
              </c:numCache>
            </c:numRef>
          </c:val>
          <c:smooth val="0"/>
          <c:extLst>
            <c:ext xmlns:c16="http://schemas.microsoft.com/office/drawing/2014/chart" uri="{C3380CC4-5D6E-409C-BE32-E72D297353CC}">
              <c16:uniqueId val="{00000004-13E9-4F55-8ADF-7E5D67220937}"/>
            </c:ext>
          </c:extLst>
        </c:ser>
        <c:ser>
          <c:idx val="5"/>
          <c:order val="5"/>
          <c:tx>
            <c:strRef>
              <c:f>'NIM_approx Trend'!$G$17</c:f>
              <c:strCache>
                <c:ptCount val="1"/>
                <c:pt idx="0">
                  <c:v>Industry</c:v>
                </c:pt>
              </c:strCache>
            </c:strRef>
          </c:tx>
          <c:spPr>
            <a:ln w="38100" cap="rnd">
              <a:solidFill>
                <a:srgbClr val="FF0000"/>
              </a:solidFill>
              <a:prstDash val="sysDash"/>
              <a:round/>
            </a:ln>
            <a:effectLst/>
          </c:spPr>
          <c:marker>
            <c:symbol val="none"/>
          </c:marker>
          <c:cat>
            <c:numRef>
              <c:f>'NIM_approx Trend'!$A$18:$A$24</c:f>
              <c:numCache>
                <c:formatCode>General</c:formatCode>
                <c:ptCount val="7"/>
                <c:pt idx="0">
                  <c:v>2018</c:v>
                </c:pt>
                <c:pt idx="1">
                  <c:v>2019</c:v>
                </c:pt>
                <c:pt idx="2">
                  <c:v>2020</c:v>
                </c:pt>
                <c:pt idx="3">
                  <c:v>2021</c:v>
                </c:pt>
                <c:pt idx="4">
                  <c:v>2022</c:v>
                </c:pt>
                <c:pt idx="5">
                  <c:v>2023</c:v>
                </c:pt>
                <c:pt idx="6">
                  <c:v>2024</c:v>
                </c:pt>
              </c:numCache>
            </c:numRef>
          </c:cat>
          <c:val>
            <c:numRef>
              <c:f>'NIM_approx Trend'!$G$18:$G$24</c:f>
              <c:numCache>
                <c:formatCode>0.00%</c:formatCode>
                <c:ptCount val="7"/>
                <c:pt idx="0">
                  <c:v>6.7400000000000002E-2</c:v>
                </c:pt>
                <c:pt idx="1">
                  <c:v>6.1199999999999997E-2</c:v>
                </c:pt>
                <c:pt idx="2">
                  <c:v>5.0200000000000002E-2</c:v>
                </c:pt>
                <c:pt idx="3">
                  <c:v>5.6399999999999999E-2</c:v>
                </c:pt>
                <c:pt idx="4">
                  <c:v>5.5599999999999997E-2</c:v>
                </c:pt>
                <c:pt idx="5">
                  <c:v>5.5300000000000002E-2</c:v>
                </c:pt>
                <c:pt idx="6">
                  <c:v>5.2999999999999999E-2</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Cost-to-Income</a:t>
            </a:r>
            <a:r>
              <a:rPr lang="en-US" sz="1000" b="1" baseline="0">
                <a:latin typeface="Times New Roman" panose="02020603050405020304" pitchFamily="18" charset="0"/>
                <a:cs typeface="Times New Roman" panose="02020603050405020304" pitchFamily="18" charset="0"/>
              </a:rPr>
              <a:t> </a:t>
            </a:r>
            <a:r>
              <a:rPr lang="en-US" sz="1000" b="1">
                <a:latin typeface="Times New Roman" panose="02020603050405020304" pitchFamily="18" charset="0"/>
                <a:cs typeface="Times New Roman" panose="02020603050405020304" pitchFamily="18" charset="0"/>
              </a:rPr>
              <a:t>Ratio (CIR) - All Banks</a:t>
            </a:r>
            <a:r>
              <a:rPr lang="en-US" sz="1000" b="1" baseline="0">
                <a:latin typeface="Times New Roman" panose="02020603050405020304" pitchFamily="18" charset="0"/>
                <a:cs typeface="Times New Roman" panose="02020603050405020304" pitchFamily="18" charset="0"/>
              </a:rPr>
              <a:t>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CIR_Trend!$B$16</c:f>
              <c:strCache>
                <c:ptCount val="1"/>
                <c:pt idx="0">
                  <c:v>Basis</c:v>
                </c:pt>
              </c:strCache>
            </c:strRef>
          </c:tx>
          <c:spPr>
            <a:ln w="28575" cap="rnd">
              <a:solidFill>
                <a:schemeClr val="tx1"/>
              </a:solidFill>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CIR_Trend!$B$17:$B$23</c:f>
              <c:numCache>
                <c:formatCode>0.00%</c:formatCode>
                <c:ptCount val="7"/>
                <c:pt idx="0">
                  <c:v>0.3726849516452157</c:v>
                </c:pt>
                <c:pt idx="1">
                  <c:v>0.4384054054054054</c:v>
                </c:pt>
                <c:pt idx="2">
                  <c:v>0.46910665684254843</c:v>
                </c:pt>
                <c:pt idx="3">
                  <c:v>0.49914505038745588</c:v>
                </c:pt>
                <c:pt idx="4">
                  <c:v>0.47664688074243483</c:v>
                </c:pt>
                <c:pt idx="5">
                  <c:v>0.47628706766397361</c:v>
                </c:pt>
                <c:pt idx="6">
                  <c:v>0.49179297887379253</c:v>
                </c:pt>
              </c:numCache>
            </c:numRef>
          </c:val>
          <c:smooth val="0"/>
          <c:extLst>
            <c:ext xmlns:c16="http://schemas.microsoft.com/office/drawing/2014/chart" uri="{C3380CC4-5D6E-409C-BE32-E72D297353CC}">
              <c16:uniqueId val="{00000000-13E9-4F55-8ADF-7E5D67220937}"/>
            </c:ext>
          </c:extLst>
        </c:ser>
        <c:ser>
          <c:idx val="1"/>
          <c:order val="1"/>
          <c:tx>
            <c:strRef>
              <c:f>CIR_Trend!$C$16</c:f>
              <c:strCache>
                <c:ptCount val="1"/>
                <c:pt idx="0">
                  <c:v>BoG</c:v>
                </c:pt>
              </c:strCache>
            </c:strRef>
          </c:tx>
          <c:spPr>
            <a:ln w="31750" cap="rnd">
              <a:solidFill>
                <a:schemeClr val="accent2"/>
              </a:solidFill>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CIR_Trend!$C$17:$C$23</c:f>
              <c:numCache>
                <c:formatCode>0.00%</c:formatCode>
                <c:ptCount val="7"/>
                <c:pt idx="0">
                  <c:v>0.35951998257562162</c:v>
                </c:pt>
                <c:pt idx="1">
                  <c:v>0.3717450448761534</c:v>
                </c:pt>
                <c:pt idx="2">
                  <c:v>0.37568994583943133</c:v>
                </c:pt>
                <c:pt idx="3">
                  <c:v>0.35354851666997567</c:v>
                </c:pt>
                <c:pt idx="4">
                  <c:v>0.30117530589071662</c:v>
                </c:pt>
                <c:pt idx="5">
                  <c:v>0.28141707655839338</c:v>
                </c:pt>
                <c:pt idx="6">
                  <c:v>0.2897842066446647</c:v>
                </c:pt>
              </c:numCache>
            </c:numRef>
          </c:val>
          <c:smooth val="0"/>
          <c:extLst>
            <c:ext xmlns:c16="http://schemas.microsoft.com/office/drawing/2014/chart" uri="{C3380CC4-5D6E-409C-BE32-E72D297353CC}">
              <c16:uniqueId val="{00000001-13E9-4F55-8ADF-7E5D67220937}"/>
            </c:ext>
          </c:extLst>
        </c:ser>
        <c:ser>
          <c:idx val="2"/>
          <c:order val="2"/>
          <c:tx>
            <c:strRef>
              <c:f>CIR_Trend!$D$16</c:f>
              <c:strCache>
                <c:ptCount val="1"/>
                <c:pt idx="0">
                  <c:v>Credo</c:v>
                </c:pt>
              </c:strCache>
            </c:strRef>
          </c:tx>
          <c:spPr>
            <a:ln w="28575" cap="rnd">
              <a:solidFill>
                <a:srgbClr val="009242"/>
              </a:solidFill>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CIR_Trend!$D$17:$D$23</c:f>
              <c:numCache>
                <c:formatCode>0.00%</c:formatCode>
                <c:ptCount val="7"/>
                <c:pt idx="0">
                  <c:v>0.67948706966704076</c:v>
                </c:pt>
                <c:pt idx="1">
                  <c:v>0.63086820405911725</c:v>
                </c:pt>
                <c:pt idx="2">
                  <c:v>0.66233793479629088</c:v>
                </c:pt>
                <c:pt idx="3">
                  <c:v>0.587751247807905</c:v>
                </c:pt>
                <c:pt idx="4">
                  <c:v>0.58438311453400971</c:v>
                </c:pt>
                <c:pt idx="5">
                  <c:v>0.61014925373134332</c:v>
                </c:pt>
                <c:pt idx="6">
                  <c:v>0.56570133226329045</c:v>
                </c:pt>
              </c:numCache>
            </c:numRef>
          </c:val>
          <c:smooth val="0"/>
          <c:extLst>
            <c:ext xmlns:c16="http://schemas.microsoft.com/office/drawing/2014/chart" uri="{C3380CC4-5D6E-409C-BE32-E72D297353CC}">
              <c16:uniqueId val="{00000002-13E9-4F55-8ADF-7E5D67220937}"/>
            </c:ext>
          </c:extLst>
        </c:ser>
        <c:ser>
          <c:idx val="3"/>
          <c:order val="3"/>
          <c:tx>
            <c:strRef>
              <c:f>CIR_Trend!$E$16</c:f>
              <c:strCache>
                <c:ptCount val="1"/>
                <c:pt idx="0">
                  <c:v>TBC</c:v>
                </c:pt>
              </c:strCache>
            </c:strRef>
          </c:tx>
          <c:spPr>
            <a:ln w="28575" cap="rnd">
              <a:solidFill>
                <a:srgbClr val="00B0F0"/>
              </a:solidFill>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CIR_Trend!$E$17:$E$23</c:f>
              <c:numCache>
                <c:formatCode>0.00%</c:formatCode>
                <c:ptCount val="7"/>
                <c:pt idx="0">
                  <c:v>0.3713873794776984</c:v>
                </c:pt>
                <c:pt idx="1">
                  <c:v>0.37721121354436332</c:v>
                </c:pt>
                <c:pt idx="2">
                  <c:v>0.35092097935273614</c:v>
                </c:pt>
                <c:pt idx="3">
                  <c:v>0.32548136214972662</c:v>
                </c:pt>
                <c:pt idx="4">
                  <c:v>0.28821679530659083</c:v>
                </c:pt>
                <c:pt idx="5">
                  <c:v>0.31975899952722936</c:v>
                </c:pt>
                <c:pt idx="6">
                  <c:v>0.32834840102209223</c:v>
                </c:pt>
              </c:numCache>
            </c:numRef>
          </c:val>
          <c:smooth val="0"/>
          <c:extLst>
            <c:ext xmlns:c16="http://schemas.microsoft.com/office/drawing/2014/chart" uri="{C3380CC4-5D6E-409C-BE32-E72D297353CC}">
              <c16:uniqueId val="{00000003-13E9-4F55-8ADF-7E5D67220937}"/>
            </c:ext>
          </c:extLst>
        </c:ser>
        <c:ser>
          <c:idx val="4"/>
          <c:order val="4"/>
          <c:tx>
            <c:strRef>
              <c:f>CIR_Trend!$F$16</c:f>
              <c:strCache>
                <c:ptCount val="1"/>
                <c:pt idx="0">
                  <c:v>VTB</c:v>
                </c:pt>
              </c:strCache>
            </c:strRef>
          </c:tx>
          <c:spPr>
            <a:ln w="28575" cap="rnd">
              <a:solidFill>
                <a:srgbClr val="7030A0"/>
              </a:solidFill>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CIR_Trend!$F$17:$F$23</c:f>
              <c:numCache>
                <c:formatCode>0.00%</c:formatCode>
                <c:ptCount val="7"/>
                <c:pt idx="0">
                  <c:v>0.61266357619872447</c:v>
                </c:pt>
                <c:pt idx="1">
                  <c:v>0.65468674113647407</c:v>
                </c:pt>
                <c:pt idx="2">
                  <c:v>0.8240418118466899</c:v>
                </c:pt>
                <c:pt idx="3">
                  <c:v>0.58261710820686019</c:v>
                </c:pt>
                <c:pt idx="4">
                  <c:v>-0.61455105303673296</c:v>
                </c:pt>
                <c:pt idx="5">
                  <c:v>0.88861966546818816</c:v>
                </c:pt>
                <c:pt idx="6">
                  <c:v>0.46653294943547602</c:v>
                </c:pt>
              </c:numCache>
            </c:numRef>
          </c:val>
          <c:smooth val="0"/>
          <c:extLst>
            <c:ext xmlns:c16="http://schemas.microsoft.com/office/drawing/2014/chart" uri="{C3380CC4-5D6E-409C-BE32-E72D297353CC}">
              <c16:uniqueId val="{00000004-13E9-4F55-8ADF-7E5D67220937}"/>
            </c:ext>
          </c:extLst>
        </c:ser>
        <c:ser>
          <c:idx val="5"/>
          <c:order val="5"/>
          <c:tx>
            <c:strRef>
              <c:f>CIR_Trend!$G$16</c:f>
              <c:strCache>
                <c:ptCount val="1"/>
                <c:pt idx="0">
                  <c:v>Industry</c:v>
                </c:pt>
              </c:strCache>
            </c:strRef>
          </c:tx>
          <c:spPr>
            <a:ln w="38100" cap="rnd">
              <a:solidFill>
                <a:srgbClr val="FF0000"/>
              </a:solidFill>
              <a:prstDash val="sysDash"/>
              <a:round/>
            </a:ln>
            <a:effectLst/>
          </c:spPr>
          <c:marker>
            <c:symbol val="none"/>
          </c:marker>
          <c:cat>
            <c:numRef>
              <c:f>CIR_Trend!$A$17:$A$23</c:f>
              <c:numCache>
                <c:formatCode>General</c:formatCode>
                <c:ptCount val="7"/>
                <c:pt idx="0">
                  <c:v>2018</c:v>
                </c:pt>
                <c:pt idx="1">
                  <c:v>2019</c:v>
                </c:pt>
                <c:pt idx="2">
                  <c:v>2020</c:v>
                </c:pt>
                <c:pt idx="3">
                  <c:v>2021</c:v>
                </c:pt>
                <c:pt idx="4">
                  <c:v>2022</c:v>
                </c:pt>
                <c:pt idx="5">
                  <c:v>2023</c:v>
                </c:pt>
                <c:pt idx="6">
                  <c:v>2024</c:v>
                </c:pt>
              </c:numCache>
            </c:numRef>
          </c:cat>
          <c:val>
            <c:numRef>
              <c:f>CIR_Trend!$G$17:$G$23</c:f>
              <c:numCache>
                <c:formatCode>0.00%</c:formatCode>
                <c:ptCount val="7"/>
                <c:pt idx="0">
                  <c:v>0.47910000000000003</c:v>
                </c:pt>
                <c:pt idx="1">
                  <c:v>0.49459999999999998</c:v>
                </c:pt>
                <c:pt idx="2">
                  <c:v>0.53639999999999999</c:v>
                </c:pt>
                <c:pt idx="3">
                  <c:v>0.46970000000000001</c:v>
                </c:pt>
                <c:pt idx="4">
                  <c:v>0.2072</c:v>
                </c:pt>
                <c:pt idx="5">
                  <c:v>0.51519999999999999</c:v>
                </c:pt>
                <c:pt idx="6">
                  <c:v>0.4284</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Non-Performing</a:t>
            </a:r>
            <a:r>
              <a:rPr lang="en-US" sz="1000" b="1" baseline="0">
                <a:latin typeface="Times New Roman" panose="02020603050405020304" pitchFamily="18" charset="0"/>
                <a:cs typeface="Times New Roman" panose="02020603050405020304" pitchFamily="18" charset="0"/>
              </a:rPr>
              <a:t> </a:t>
            </a:r>
            <a:r>
              <a:rPr lang="en-US" sz="1000" b="1">
                <a:latin typeface="Times New Roman" panose="02020603050405020304" pitchFamily="18" charset="0"/>
                <a:cs typeface="Times New Roman" panose="02020603050405020304" pitchFamily="18" charset="0"/>
              </a:rPr>
              <a:t>Loan (NPL) Ratio - All Banks</a:t>
            </a:r>
            <a:r>
              <a:rPr lang="en-US" sz="1000" b="1" baseline="0">
                <a:latin typeface="Times New Roman" panose="02020603050405020304" pitchFamily="18" charset="0"/>
                <a:cs typeface="Times New Roman" panose="02020603050405020304" pitchFamily="18" charset="0"/>
              </a:rPr>
              <a:t>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'NPL Ratio Trend'!$B$16</c:f>
              <c:strCache>
                <c:ptCount val="1"/>
                <c:pt idx="0">
                  <c:v>Basis</c:v>
                </c:pt>
              </c:strCache>
            </c:strRef>
          </c:tx>
          <c:spPr>
            <a:ln w="28575" cap="rnd">
              <a:solidFill>
                <a:schemeClr val="tx1"/>
              </a:solidFill>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Trend'!$B$17:$B$23</c:f>
              <c:numCache>
                <c:formatCode>0.00%</c:formatCode>
                <c:ptCount val="7"/>
                <c:pt idx="0">
                  <c:v>4.4373348929730015E-2</c:v>
                </c:pt>
                <c:pt idx="1">
                  <c:v>5.3545029182480719E-2</c:v>
                </c:pt>
                <c:pt idx="2">
                  <c:v>7.5323385252942382E-2</c:v>
                </c:pt>
                <c:pt idx="3">
                  <c:v>4.7427451023850667E-2</c:v>
                </c:pt>
                <c:pt idx="4">
                  <c:v>3.9117665084221591E-2</c:v>
                </c:pt>
                <c:pt idx="5">
                  <c:v>3.7015405410966602E-2</c:v>
                </c:pt>
                <c:pt idx="6">
                  <c:v>3.320656071139625E-2</c:v>
                </c:pt>
              </c:numCache>
            </c:numRef>
          </c:val>
          <c:smooth val="0"/>
          <c:extLst>
            <c:ext xmlns:c16="http://schemas.microsoft.com/office/drawing/2014/chart" uri="{C3380CC4-5D6E-409C-BE32-E72D297353CC}">
              <c16:uniqueId val="{00000000-13E9-4F55-8ADF-7E5D67220937}"/>
            </c:ext>
          </c:extLst>
        </c:ser>
        <c:ser>
          <c:idx val="1"/>
          <c:order val="1"/>
          <c:tx>
            <c:strRef>
              <c:f>'NPL Ratio Trend'!$C$16</c:f>
              <c:strCache>
                <c:ptCount val="1"/>
                <c:pt idx="0">
                  <c:v>BoG</c:v>
                </c:pt>
              </c:strCache>
            </c:strRef>
          </c:tx>
          <c:spPr>
            <a:ln w="31750" cap="rnd">
              <a:solidFill>
                <a:schemeClr val="accent2"/>
              </a:solidFill>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Trend'!$C$17:$C$23</c:f>
              <c:numCache>
                <c:formatCode>0.00%</c:formatCode>
                <c:ptCount val="7"/>
                <c:pt idx="0">
                  <c:v>3.5623670296660692E-2</c:v>
                </c:pt>
                <c:pt idx="1">
                  <c:v>2.1932961156486592E-2</c:v>
                </c:pt>
                <c:pt idx="2">
                  <c:v>3.9717726983378734E-2</c:v>
                </c:pt>
                <c:pt idx="3">
                  <c:v>2.5781325049450486E-2</c:v>
                </c:pt>
                <c:pt idx="4">
                  <c:v>2.763274334469655E-2</c:v>
                </c:pt>
                <c:pt idx="5">
                  <c:v>2.2148183195887423E-2</c:v>
                </c:pt>
                <c:pt idx="6">
                  <c:v>2.3015685356968612E-2</c:v>
                </c:pt>
              </c:numCache>
            </c:numRef>
          </c:val>
          <c:smooth val="0"/>
          <c:extLst>
            <c:ext xmlns:c16="http://schemas.microsoft.com/office/drawing/2014/chart" uri="{C3380CC4-5D6E-409C-BE32-E72D297353CC}">
              <c16:uniqueId val="{00000001-13E9-4F55-8ADF-7E5D67220937}"/>
            </c:ext>
          </c:extLst>
        </c:ser>
        <c:ser>
          <c:idx val="2"/>
          <c:order val="2"/>
          <c:tx>
            <c:strRef>
              <c:f>'NPL Ratio Trend'!$D$16</c:f>
              <c:strCache>
                <c:ptCount val="1"/>
                <c:pt idx="0">
                  <c:v>Credo</c:v>
                </c:pt>
              </c:strCache>
            </c:strRef>
          </c:tx>
          <c:spPr>
            <a:ln w="28575" cap="rnd">
              <a:solidFill>
                <a:srgbClr val="009242"/>
              </a:solidFill>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Trend'!$D$17:$D$23</c:f>
              <c:numCache>
                <c:formatCode>0.00%</c:formatCode>
                <c:ptCount val="7"/>
                <c:pt idx="0">
                  <c:v>4.5295676888903718E-3</c:v>
                </c:pt>
                <c:pt idx="1">
                  <c:v>4.4341415899075108E-3</c:v>
                </c:pt>
                <c:pt idx="2">
                  <c:v>1.1491233154886229E-2</c:v>
                </c:pt>
                <c:pt idx="3">
                  <c:v>1.6477374697275123E-2</c:v>
                </c:pt>
                <c:pt idx="4">
                  <c:v>9.7720632905248864E-3</c:v>
                </c:pt>
                <c:pt idx="5">
                  <c:v>9.7530937963094186E-3</c:v>
                </c:pt>
                <c:pt idx="6">
                  <c:v>8.0391131961413832E-3</c:v>
                </c:pt>
              </c:numCache>
            </c:numRef>
          </c:val>
          <c:smooth val="0"/>
          <c:extLst>
            <c:ext xmlns:c16="http://schemas.microsoft.com/office/drawing/2014/chart" uri="{C3380CC4-5D6E-409C-BE32-E72D297353CC}">
              <c16:uniqueId val="{00000002-13E9-4F55-8ADF-7E5D67220937}"/>
            </c:ext>
          </c:extLst>
        </c:ser>
        <c:ser>
          <c:idx val="3"/>
          <c:order val="3"/>
          <c:tx>
            <c:strRef>
              <c:f>'NPL Ratio Trend'!$E$16</c:f>
              <c:strCache>
                <c:ptCount val="1"/>
                <c:pt idx="0">
                  <c:v>TBC</c:v>
                </c:pt>
              </c:strCache>
            </c:strRef>
          </c:tx>
          <c:spPr>
            <a:ln w="28575" cap="rnd">
              <a:solidFill>
                <a:srgbClr val="00B0F0"/>
              </a:solidFill>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Trend'!$E$17:$E$23</c:f>
              <c:numCache>
                <c:formatCode>0.00%</c:formatCode>
                <c:ptCount val="7"/>
                <c:pt idx="0">
                  <c:v>3.0999995950863536E-2</c:v>
                </c:pt>
                <c:pt idx="1">
                  <c:v>2.7000016980000322E-2</c:v>
                </c:pt>
                <c:pt idx="2">
                  <c:v>4.6999986513614832E-2</c:v>
                </c:pt>
                <c:pt idx="3">
                  <c:v>2.3999983957111698E-2</c:v>
                </c:pt>
                <c:pt idx="4">
                  <c:v>2.1999995968030064E-2</c:v>
                </c:pt>
                <c:pt idx="5">
                  <c:v>2.000000093999323E-2</c:v>
                </c:pt>
                <c:pt idx="6">
                  <c:v>2.2000001712916151E-2</c:v>
                </c:pt>
              </c:numCache>
            </c:numRef>
          </c:val>
          <c:smooth val="0"/>
          <c:extLst>
            <c:ext xmlns:c16="http://schemas.microsoft.com/office/drawing/2014/chart" uri="{C3380CC4-5D6E-409C-BE32-E72D297353CC}">
              <c16:uniqueId val="{00000003-13E9-4F55-8ADF-7E5D67220937}"/>
            </c:ext>
          </c:extLst>
        </c:ser>
        <c:ser>
          <c:idx val="4"/>
          <c:order val="4"/>
          <c:tx>
            <c:strRef>
              <c:f>'NPL Ratio Trend'!$F$16</c:f>
              <c:strCache>
                <c:ptCount val="1"/>
                <c:pt idx="0">
                  <c:v>VTB</c:v>
                </c:pt>
              </c:strCache>
            </c:strRef>
          </c:tx>
          <c:spPr>
            <a:ln w="28575" cap="rnd">
              <a:solidFill>
                <a:srgbClr val="7030A0"/>
              </a:solidFill>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Trend'!$F$17:$F$23</c:f>
              <c:numCache>
                <c:formatCode>0.00%</c:formatCode>
                <c:ptCount val="7"/>
                <c:pt idx="0">
                  <c:v>3.2177288093151374E-2</c:v>
                </c:pt>
                <c:pt idx="1">
                  <c:v>3.9430533975510537E-2</c:v>
                </c:pt>
                <c:pt idx="2">
                  <c:v>2.8643281820611027E-2</c:v>
                </c:pt>
                <c:pt idx="3">
                  <c:v>2.6309514246480203E-2</c:v>
                </c:pt>
                <c:pt idx="4">
                  <c:v>0.18244778541033663</c:v>
                </c:pt>
                <c:pt idx="5">
                  <c:v>0.25560925997214973</c:v>
                </c:pt>
                <c:pt idx="6">
                  <c:v>0.58546942794719514</c:v>
                </c:pt>
              </c:numCache>
            </c:numRef>
          </c:val>
          <c:smooth val="0"/>
          <c:extLst>
            <c:ext xmlns:c16="http://schemas.microsoft.com/office/drawing/2014/chart" uri="{C3380CC4-5D6E-409C-BE32-E72D297353CC}">
              <c16:uniqueId val="{00000004-13E9-4F55-8ADF-7E5D67220937}"/>
            </c:ext>
          </c:extLst>
        </c:ser>
        <c:ser>
          <c:idx val="5"/>
          <c:order val="5"/>
          <c:tx>
            <c:strRef>
              <c:f>'NPL Ratio Trend'!$G$16</c:f>
              <c:strCache>
                <c:ptCount val="1"/>
                <c:pt idx="0">
                  <c:v>Industry</c:v>
                </c:pt>
              </c:strCache>
            </c:strRef>
          </c:tx>
          <c:spPr>
            <a:ln w="38100" cap="rnd">
              <a:solidFill>
                <a:srgbClr val="FF0000"/>
              </a:solidFill>
              <a:prstDash val="sysDash"/>
              <a:round/>
            </a:ln>
            <a:effectLst/>
          </c:spPr>
          <c:marker>
            <c:symbol val="none"/>
          </c:marker>
          <c:cat>
            <c:numRef>
              <c:f>'NPL Ratio Trend'!$A$17:$A$23</c:f>
              <c:numCache>
                <c:formatCode>General</c:formatCode>
                <c:ptCount val="7"/>
                <c:pt idx="0">
                  <c:v>2018</c:v>
                </c:pt>
                <c:pt idx="1">
                  <c:v>2019</c:v>
                </c:pt>
                <c:pt idx="2">
                  <c:v>2020</c:v>
                </c:pt>
                <c:pt idx="3">
                  <c:v>2021</c:v>
                </c:pt>
                <c:pt idx="4">
                  <c:v>2022</c:v>
                </c:pt>
                <c:pt idx="5">
                  <c:v>2023</c:v>
                </c:pt>
                <c:pt idx="6">
                  <c:v>2024</c:v>
                </c:pt>
              </c:numCache>
            </c:numRef>
          </c:cat>
          <c:val>
            <c:numRef>
              <c:f>'NPL Ratio Trend'!$G$17:$G$23</c:f>
              <c:numCache>
                <c:formatCode>0.00%</c:formatCode>
                <c:ptCount val="7"/>
                <c:pt idx="0">
                  <c:v>2.9499999999999998E-2</c:v>
                </c:pt>
                <c:pt idx="1">
                  <c:v>2.93E-2</c:v>
                </c:pt>
                <c:pt idx="2">
                  <c:v>4.0399999999999998E-2</c:v>
                </c:pt>
                <c:pt idx="3">
                  <c:v>2.8000000000000001E-2</c:v>
                </c:pt>
                <c:pt idx="4">
                  <c:v>5.62E-2</c:v>
                </c:pt>
                <c:pt idx="5">
                  <c:v>6.8900000000000003E-2</c:v>
                </c:pt>
                <c:pt idx="6">
                  <c:v>0.1343</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Loan-to-Asset</a:t>
            </a:r>
            <a:r>
              <a:rPr lang="en-US" sz="1000" b="1" baseline="0">
                <a:latin typeface="Times New Roman" panose="02020603050405020304" pitchFamily="18" charset="0"/>
                <a:cs typeface="Times New Roman" panose="02020603050405020304" pitchFamily="18" charset="0"/>
              </a:rPr>
              <a:t> Ratio - All Banks vs.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'Loan-to-Asset Ratio Trend'!$B$17</c:f>
              <c:strCache>
                <c:ptCount val="1"/>
                <c:pt idx="0">
                  <c:v>Basis</c:v>
                </c:pt>
              </c:strCache>
            </c:strRef>
          </c:tx>
          <c:spPr>
            <a:ln w="28575" cap="rnd">
              <a:solidFill>
                <a:schemeClr val="tx1"/>
              </a:solidFill>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Trend'!$B$18:$B$24</c:f>
              <c:numCache>
                <c:formatCode>0.00%</c:formatCode>
                <c:ptCount val="7"/>
                <c:pt idx="0">
                  <c:v>0.34357605883506304</c:v>
                </c:pt>
                <c:pt idx="1">
                  <c:v>0.31894295345876017</c:v>
                </c:pt>
                <c:pt idx="2">
                  <c:v>0.29215391349329511</c:v>
                </c:pt>
                <c:pt idx="3">
                  <c:v>0.31595597441177753</c:v>
                </c:pt>
                <c:pt idx="4">
                  <c:v>0.41429289896045429</c:v>
                </c:pt>
                <c:pt idx="5">
                  <c:v>0.37185755145559468</c:v>
                </c:pt>
                <c:pt idx="6">
                  <c:v>0.38547545298877517</c:v>
                </c:pt>
              </c:numCache>
            </c:numRef>
          </c:val>
          <c:smooth val="0"/>
          <c:extLst>
            <c:ext xmlns:c16="http://schemas.microsoft.com/office/drawing/2014/chart" uri="{C3380CC4-5D6E-409C-BE32-E72D297353CC}">
              <c16:uniqueId val="{00000000-13E9-4F55-8ADF-7E5D67220937}"/>
            </c:ext>
          </c:extLst>
        </c:ser>
        <c:ser>
          <c:idx val="1"/>
          <c:order val="1"/>
          <c:tx>
            <c:strRef>
              <c:f>'Loan-to-Asset Ratio Trend'!$C$17</c:f>
              <c:strCache>
                <c:ptCount val="1"/>
                <c:pt idx="0">
                  <c:v>BoG</c:v>
                </c:pt>
              </c:strCache>
            </c:strRef>
          </c:tx>
          <c:spPr>
            <a:ln w="31750" cap="rnd">
              <a:solidFill>
                <a:schemeClr val="accent2"/>
              </a:solidFill>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Trend'!$C$18:$C$24</c:f>
              <c:numCache>
                <c:formatCode>0.00%</c:formatCode>
                <c:ptCount val="7"/>
                <c:pt idx="0">
                  <c:v>0.34744472900998785</c:v>
                </c:pt>
                <c:pt idx="1">
                  <c:v>0.36006522398978774</c:v>
                </c:pt>
                <c:pt idx="2">
                  <c:v>0.35684428498598791</c:v>
                </c:pt>
                <c:pt idx="3">
                  <c:v>0.36236605075531858</c:v>
                </c:pt>
                <c:pt idx="4">
                  <c:v>0.3314507939040065</c:v>
                </c:pt>
                <c:pt idx="5">
                  <c:v>0.34322798041698249</c:v>
                </c:pt>
                <c:pt idx="6">
                  <c:v>0.34274342240431438</c:v>
                </c:pt>
              </c:numCache>
            </c:numRef>
          </c:val>
          <c:smooth val="0"/>
          <c:extLst>
            <c:ext xmlns:c16="http://schemas.microsoft.com/office/drawing/2014/chart" uri="{C3380CC4-5D6E-409C-BE32-E72D297353CC}">
              <c16:uniqueId val="{00000001-13E9-4F55-8ADF-7E5D67220937}"/>
            </c:ext>
          </c:extLst>
        </c:ser>
        <c:ser>
          <c:idx val="2"/>
          <c:order val="2"/>
          <c:tx>
            <c:strRef>
              <c:f>'Loan-to-Asset Ratio Trend'!$D$17</c:f>
              <c:strCache>
                <c:ptCount val="1"/>
                <c:pt idx="0">
                  <c:v>Credo</c:v>
                </c:pt>
              </c:strCache>
            </c:strRef>
          </c:tx>
          <c:spPr>
            <a:ln w="28575" cap="rnd">
              <a:solidFill>
                <a:srgbClr val="009242"/>
              </a:solidFill>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Trend'!$D$18:$D$24</c:f>
              <c:numCache>
                <c:formatCode>0.00%</c:formatCode>
                <c:ptCount val="7"/>
                <c:pt idx="0">
                  <c:v>0.49539392589025488</c:v>
                </c:pt>
                <c:pt idx="1">
                  <c:v>0.47342173819364192</c:v>
                </c:pt>
                <c:pt idx="2">
                  <c:v>0.45311274123553941</c:v>
                </c:pt>
                <c:pt idx="3">
                  <c:v>0.47910346728703501</c:v>
                </c:pt>
                <c:pt idx="4">
                  <c:v>0.45466890920338793</c:v>
                </c:pt>
                <c:pt idx="5">
                  <c:v>0.43481409672145049</c:v>
                </c:pt>
                <c:pt idx="6">
                  <c:v>0.45905204398547106</c:v>
                </c:pt>
              </c:numCache>
            </c:numRef>
          </c:val>
          <c:smooth val="0"/>
          <c:extLst>
            <c:ext xmlns:c16="http://schemas.microsoft.com/office/drawing/2014/chart" uri="{C3380CC4-5D6E-409C-BE32-E72D297353CC}">
              <c16:uniqueId val="{00000002-13E9-4F55-8ADF-7E5D67220937}"/>
            </c:ext>
          </c:extLst>
        </c:ser>
        <c:ser>
          <c:idx val="3"/>
          <c:order val="3"/>
          <c:tx>
            <c:strRef>
              <c:f>'Loan-to-Asset Ratio Trend'!$E$17</c:f>
              <c:strCache>
                <c:ptCount val="1"/>
                <c:pt idx="0">
                  <c:v>TBC</c:v>
                </c:pt>
              </c:strCache>
            </c:strRef>
          </c:tx>
          <c:spPr>
            <a:ln w="28575" cap="rnd">
              <a:solidFill>
                <a:srgbClr val="00B0F0"/>
              </a:solidFill>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Trend'!$E$18:$E$24</c:f>
              <c:numCache>
                <c:formatCode>0.00%</c:formatCode>
                <c:ptCount val="7"/>
                <c:pt idx="0">
                  <c:v>0.36535930183515469</c:v>
                </c:pt>
                <c:pt idx="1">
                  <c:v>0.37506339695847446</c:v>
                </c:pt>
                <c:pt idx="2">
                  <c:v>0.37342583007047192</c:v>
                </c:pt>
                <c:pt idx="3">
                  <c:v>0.36509711753232893</c:v>
                </c:pt>
                <c:pt idx="4">
                  <c:v>0.34099255273998375</c:v>
                </c:pt>
                <c:pt idx="5">
                  <c:v>0.35402158590430044</c:v>
                </c:pt>
                <c:pt idx="6">
                  <c:v>0.35317371803065306</c:v>
                </c:pt>
              </c:numCache>
            </c:numRef>
          </c:val>
          <c:smooth val="0"/>
          <c:extLst>
            <c:ext xmlns:c16="http://schemas.microsoft.com/office/drawing/2014/chart" uri="{C3380CC4-5D6E-409C-BE32-E72D297353CC}">
              <c16:uniqueId val="{00000003-13E9-4F55-8ADF-7E5D67220937}"/>
            </c:ext>
          </c:extLst>
        </c:ser>
        <c:ser>
          <c:idx val="4"/>
          <c:order val="4"/>
          <c:tx>
            <c:strRef>
              <c:f>'Loan-to-Asset Ratio Trend'!$F$17</c:f>
              <c:strCache>
                <c:ptCount val="1"/>
                <c:pt idx="0">
                  <c:v>VTB</c:v>
                </c:pt>
              </c:strCache>
            </c:strRef>
          </c:tx>
          <c:spPr>
            <a:ln w="28575" cap="rnd">
              <a:solidFill>
                <a:srgbClr val="7030A0"/>
              </a:solidFill>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Trend'!$F$18:$F$24</c:f>
              <c:numCache>
                <c:formatCode>0.00%</c:formatCode>
                <c:ptCount val="7"/>
                <c:pt idx="0">
                  <c:v>0.34702598765251397</c:v>
                </c:pt>
                <c:pt idx="1">
                  <c:v>0.35536410570890109</c:v>
                </c:pt>
                <c:pt idx="2">
                  <c:v>0.37596620465002628</c:v>
                </c:pt>
                <c:pt idx="3">
                  <c:v>0.3626191825060609</c:v>
                </c:pt>
                <c:pt idx="4">
                  <c:v>9.8082134859481931E-2</c:v>
                </c:pt>
                <c:pt idx="5">
                  <c:v>0.224009973458761</c:v>
                </c:pt>
                <c:pt idx="6">
                  <c:v>0.21581171511994704</c:v>
                </c:pt>
              </c:numCache>
            </c:numRef>
          </c:val>
          <c:smooth val="0"/>
          <c:extLst>
            <c:ext xmlns:c16="http://schemas.microsoft.com/office/drawing/2014/chart" uri="{C3380CC4-5D6E-409C-BE32-E72D297353CC}">
              <c16:uniqueId val="{00000004-13E9-4F55-8ADF-7E5D67220937}"/>
            </c:ext>
          </c:extLst>
        </c:ser>
        <c:ser>
          <c:idx val="5"/>
          <c:order val="5"/>
          <c:tx>
            <c:strRef>
              <c:f>'Loan-to-Asset Ratio Trend'!$G$17</c:f>
              <c:strCache>
                <c:ptCount val="1"/>
                <c:pt idx="0">
                  <c:v>Industry</c:v>
                </c:pt>
              </c:strCache>
            </c:strRef>
          </c:tx>
          <c:spPr>
            <a:ln w="38100" cap="rnd">
              <a:solidFill>
                <a:srgbClr val="FF0000"/>
              </a:solidFill>
              <a:prstDash val="sysDash"/>
              <a:round/>
            </a:ln>
            <a:effectLst/>
          </c:spPr>
          <c:marker>
            <c:symbol val="none"/>
          </c:marker>
          <c:cat>
            <c:numRef>
              <c:f>'Loan-to-Asset Ratio Trend'!$A$18:$A$24</c:f>
              <c:numCache>
                <c:formatCode>General</c:formatCode>
                <c:ptCount val="7"/>
                <c:pt idx="0">
                  <c:v>2018</c:v>
                </c:pt>
                <c:pt idx="1">
                  <c:v>2019</c:v>
                </c:pt>
                <c:pt idx="2">
                  <c:v>2020</c:v>
                </c:pt>
                <c:pt idx="3">
                  <c:v>2021</c:v>
                </c:pt>
                <c:pt idx="4">
                  <c:v>2022</c:v>
                </c:pt>
                <c:pt idx="5">
                  <c:v>2023</c:v>
                </c:pt>
                <c:pt idx="6">
                  <c:v>2024</c:v>
                </c:pt>
              </c:numCache>
            </c:numRef>
          </c:cat>
          <c:val>
            <c:numRef>
              <c:f>'Loan-to-Asset Ratio Trend'!$G$18:$G$24</c:f>
              <c:numCache>
                <c:formatCode>0.00%</c:formatCode>
                <c:ptCount val="7"/>
                <c:pt idx="0">
                  <c:v>0.37980000000000003</c:v>
                </c:pt>
                <c:pt idx="1">
                  <c:v>0.37659999999999999</c:v>
                </c:pt>
                <c:pt idx="2">
                  <c:v>0.37030000000000002</c:v>
                </c:pt>
                <c:pt idx="3">
                  <c:v>0.377</c:v>
                </c:pt>
                <c:pt idx="4">
                  <c:v>0.32790000000000002</c:v>
                </c:pt>
                <c:pt idx="5">
                  <c:v>0.34560000000000002</c:v>
                </c:pt>
                <c:pt idx="6">
                  <c:v>0.3513</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7037543565848984E-2"/>
          <c:y val="0.89140050240276791"/>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latin typeface="Times New Roman" panose="02020603050405020304" pitchFamily="18" charset="0"/>
                <a:cs typeface="Times New Roman" panose="02020603050405020304" pitchFamily="18" charset="0"/>
              </a:rPr>
              <a:t>Equity Multiplier - All Banks vs.</a:t>
            </a:r>
            <a:r>
              <a:rPr lang="en-US" sz="1000" b="1" baseline="0">
                <a:latin typeface="Times New Roman" panose="02020603050405020304" pitchFamily="18" charset="0"/>
                <a:cs typeface="Times New Roman" panose="02020603050405020304" pitchFamily="18" charset="0"/>
              </a:rPr>
              <a:t> Industry Average (2018-2024)</a:t>
            </a:r>
            <a:endParaRPr lang="en-US" sz="10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lineChart>
        <c:grouping val="standard"/>
        <c:varyColors val="0"/>
        <c:ser>
          <c:idx val="0"/>
          <c:order val="0"/>
          <c:tx>
            <c:strRef>
              <c:f>'Equity Multiplier Trend'!$B$15</c:f>
              <c:strCache>
                <c:ptCount val="1"/>
                <c:pt idx="0">
                  <c:v>Basis</c:v>
                </c:pt>
              </c:strCache>
            </c:strRef>
          </c:tx>
          <c:spPr>
            <a:ln w="28575" cap="rnd">
              <a:solidFill>
                <a:schemeClr val="tx1"/>
              </a:solidFill>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Trend'!$B$16:$B$22</c:f>
              <c:numCache>
                <c:formatCode>0.00</c:formatCode>
                <c:ptCount val="7"/>
                <c:pt idx="0">
                  <c:v>5.7607882943685542</c:v>
                </c:pt>
                <c:pt idx="1">
                  <c:v>5.8830958865056679</c:v>
                </c:pt>
                <c:pt idx="2">
                  <c:v>6.3619778305835339</c:v>
                </c:pt>
                <c:pt idx="3">
                  <c:v>6.0554782332139423</c:v>
                </c:pt>
                <c:pt idx="4">
                  <c:v>6.3533421270438861</c:v>
                </c:pt>
                <c:pt idx="5">
                  <c:v>6.9730080246413229</c:v>
                </c:pt>
                <c:pt idx="6">
                  <c:v>6.6539823684178581</c:v>
                </c:pt>
              </c:numCache>
            </c:numRef>
          </c:val>
          <c:smooth val="0"/>
          <c:extLst>
            <c:ext xmlns:c16="http://schemas.microsoft.com/office/drawing/2014/chart" uri="{C3380CC4-5D6E-409C-BE32-E72D297353CC}">
              <c16:uniqueId val="{00000000-13E9-4F55-8ADF-7E5D67220937}"/>
            </c:ext>
          </c:extLst>
        </c:ser>
        <c:ser>
          <c:idx val="1"/>
          <c:order val="1"/>
          <c:tx>
            <c:strRef>
              <c:f>'Equity Multiplier Trend'!$C$15</c:f>
              <c:strCache>
                <c:ptCount val="1"/>
                <c:pt idx="0">
                  <c:v>BoG</c:v>
                </c:pt>
              </c:strCache>
            </c:strRef>
          </c:tx>
          <c:spPr>
            <a:ln w="31750" cap="rnd">
              <a:solidFill>
                <a:schemeClr val="accent2"/>
              </a:solidFill>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Trend'!$C$16:$C$22</c:f>
              <c:numCache>
                <c:formatCode>0.00</c:formatCode>
                <c:ptCount val="7"/>
                <c:pt idx="0">
                  <c:v>8.4484129367835816</c:v>
                </c:pt>
                <c:pt idx="1">
                  <c:v>8.624775333635295</c:v>
                </c:pt>
                <c:pt idx="2">
                  <c:v>8.7810314613519029</c:v>
                </c:pt>
                <c:pt idx="3">
                  <c:v>8.1107196413842857</c:v>
                </c:pt>
                <c:pt idx="4">
                  <c:v>8.8254631982271068</c:v>
                </c:pt>
                <c:pt idx="5">
                  <c:v>7.2530812249117593</c:v>
                </c:pt>
                <c:pt idx="6">
                  <c:v>7.0088704759947582</c:v>
                </c:pt>
              </c:numCache>
            </c:numRef>
          </c:val>
          <c:smooth val="0"/>
          <c:extLst>
            <c:ext xmlns:c16="http://schemas.microsoft.com/office/drawing/2014/chart" uri="{C3380CC4-5D6E-409C-BE32-E72D297353CC}">
              <c16:uniqueId val="{00000001-13E9-4F55-8ADF-7E5D67220937}"/>
            </c:ext>
          </c:extLst>
        </c:ser>
        <c:ser>
          <c:idx val="2"/>
          <c:order val="2"/>
          <c:tx>
            <c:strRef>
              <c:f>'Equity Multiplier Trend'!$D$15</c:f>
              <c:strCache>
                <c:ptCount val="1"/>
                <c:pt idx="0">
                  <c:v>Credo</c:v>
                </c:pt>
              </c:strCache>
            </c:strRef>
          </c:tx>
          <c:spPr>
            <a:ln w="28575" cap="rnd">
              <a:solidFill>
                <a:srgbClr val="009242"/>
              </a:solidFill>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Trend'!$D$16:$D$22</c:f>
              <c:numCache>
                <c:formatCode>0.00</c:formatCode>
                <c:ptCount val="7"/>
                <c:pt idx="0">
                  <c:v>5.5664400852980833</c:v>
                </c:pt>
                <c:pt idx="1">
                  <c:v>6.3326599684581719</c:v>
                </c:pt>
                <c:pt idx="2">
                  <c:v>7.4624153563096298</c:v>
                </c:pt>
                <c:pt idx="3">
                  <c:v>8.0042789129498981</c:v>
                </c:pt>
                <c:pt idx="4">
                  <c:v>8.0655772248283082</c:v>
                </c:pt>
                <c:pt idx="5">
                  <c:v>8.1505349811522834</c:v>
                </c:pt>
                <c:pt idx="6">
                  <c:v>8.0913715224009675</c:v>
                </c:pt>
              </c:numCache>
            </c:numRef>
          </c:val>
          <c:smooth val="0"/>
          <c:extLst>
            <c:ext xmlns:c16="http://schemas.microsoft.com/office/drawing/2014/chart" uri="{C3380CC4-5D6E-409C-BE32-E72D297353CC}">
              <c16:uniqueId val="{00000002-13E9-4F55-8ADF-7E5D67220937}"/>
            </c:ext>
          </c:extLst>
        </c:ser>
        <c:ser>
          <c:idx val="3"/>
          <c:order val="3"/>
          <c:tx>
            <c:strRef>
              <c:f>'Equity Multiplier Trend'!$E$15</c:f>
              <c:strCache>
                <c:ptCount val="1"/>
                <c:pt idx="0">
                  <c:v>TBC</c:v>
                </c:pt>
              </c:strCache>
            </c:strRef>
          </c:tx>
          <c:spPr>
            <a:ln w="28575" cap="rnd">
              <a:solidFill>
                <a:srgbClr val="00B0F0"/>
              </a:solidFill>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Trend'!$E$16:$E$22</c:f>
              <c:numCache>
                <c:formatCode>0.00</c:formatCode>
                <c:ptCount val="7"/>
                <c:pt idx="0">
                  <c:v>7.1689982043468898</c:v>
                </c:pt>
                <c:pt idx="1">
                  <c:v>7.2703232304655119</c:v>
                </c:pt>
                <c:pt idx="2">
                  <c:v>7.5916477212326248</c:v>
                </c:pt>
                <c:pt idx="3">
                  <c:v>7.2331424005507587</c:v>
                </c:pt>
                <c:pt idx="4">
                  <c:v>6.6661755681143378</c:v>
                </c:pt>
                <c:pt idx="5">
                  <c:v>6.6677841742246722</c:v>
                </c:pt>
                <c:pt idx="6">
                  <c:v>6.8048191538223133</c:v>
                </c:pt>
              </c:numCache>
            </c:numRef>
          </c:val>
          <c:smooth val="0"/>
          <c:extLst>
            <c:ext xmlns:c16="http://schemas.microsoft.com/office/drawing/2014/chart" uri="{C3380CC4-5D6E-409C-BE32-E72D297353CC}">
              <c16:uniqueId val="{00000003-13E9-4F55-8ADF-7E5D67220937}"/>
            </c:ext>
          </c:extLst>
        </c:ser>
        <c:ser>
          <c:idx val="4"/>
          <c:order val="4"/>
          <c:tx>
            <c:strRef>
              <c:f>'Equity Multiplier Trend'!$F$15</c:f>
              <c:strCache>
                <c:ptCount val="1"/>
                <c:pt idx="0">
                  <c:v>VTB</c:v>
                </c:pt>
              </c:strCache>
            </c:strRef>
          </c:tx>
          <c:spPr>
            <a:ln w="28575" cap="rnd">
              <a:solidFill>
                <a:srgbClr val="7030A0"/>
              </a:solidFill>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Trend'!$F$16:$F$22</c:f>
              <c:numCache>
                <c:formatCode>0.00</c:formatCode>
                <c:ptCount val="7"/>
                <c:pt idx="0">
                  <c:v>6.7206530135502591</c:v>
                </c:pt>
                <c:pt idx="1">
                  <c:v>6.1997486434356768</c:v>
                </c:pt>
                <c:pt idx="2">
                  <c:v>6.4499870065439771</c:v>
                </c:pt>
                <c:pt idx="3">
                  <c:v>6.1017786492118606</c:v>
                </c:pt>
                <c:pt idx="4">
                  <c:v>3.7366882272213591</c:v>
                </c:pt>
                <c:pt idx="5">
                  <c:v>1.462421724901368</c:v>
                </c:pt>
                <c:pt idx="6">
                  <c:v>1.3858722579200304</c:v>
                </c:pt>
              </c:numCache>
            </c:numRef>
          </c:val>
          <c:smooth val="0"/>
          <c:extLst>
            <c:ext xmlns:c16="http://schemas.microsoft.com/office/drawing/2014/chart" uri="{C3380CC4-5D6E-409C-BE32-E72D297353CC}">
              <c16:uniqueId val="{00000004-13E9-4F55-8ADF-7E5D67220937}"/>
            </c:ext>
          </c:extLst>
        </c:ser>
        <c:ser>
          <c:idx val="5"/>
          <c:order val="5"/>
          <c:tx>
            <c:strRef>
              <c:f>'Equity Multiplier Trend'!$G$15</c:f>
              <c:strCache>
                <c:ptCount val="1"/>
                <c:pt idx="0">
                  <c:v>Industry</c:v>
                </c:pt>
              </c:strCache>
            </c:strRef>
          </c:tx>
          <c:spPr>
            <a:ln w="38100" cap="rnd">
              <a:solidFill>
                <a:srgbClr val="FF0000"/>
              </a:solidFill>
              <a:prstDash val="sysDash"/>
              <a:round/>
            </a:ln>
            <a:effectLst/>
          </c:spPr>
          <c:marker>
            <c:symbol val="none"/>
          </c:marker>
          <c:cat>
            <c:numRef>
              <c:f>'Equity Multiplier Trend'!$A$16:$A$22</c:f>
              <c:numCache>
                <c:formatCode>General</c:formatCode>
                <c:ptCount val="7"/>
                <c:pt idx="0">
                  <c:v>2018</c:v>
                </c:pt>
                <c:pt idx="1">
                  <c:v>2019</c:v>
                </c:pt>
                <c:pt idx="2">
                  <c:v>2020</c:v>
                </c:pt>
                <c:pt idx="3">
                  <c:v>2021</c:v>
                </c:pt>
                <c:pt idx="4">
                  <c:v>2022</c:v>
                </c:pt>
                <c:pt idx="5">
                  <c:v>2023</c:v>
                </c:pt>
                <c:pt idx="6">
                  <c:v>2024</c:v>
                </c:pt>
              </c:numCache>
            </c:numRef>
          </c:cat>
          <c:val>
            <c:numRef>
              <c:f>'Equity Multiplier Trend'!$G$16:$G$22</c:f>
              <c:numCache>
                <c:formatCode>0.00</c:formatCode>
                <c:ptCount val="7"/>
                <c:pt idx="0">
                  <c:v>6.73</c:v>
                </c:pt>
                <c:pt idx="1">
                  <c:v>6.86</c:v>
                </c:pt>
                <c:pt idx="2">
                  <c:v>7.33</c:v>
                </c:pt>
                <c:pt idx="3">
                  <c:v>7.1</c:v>
                </c:pt>
                <c:pt idx="4">
                  <c:v>6.73</c:v>
                </c:pt>
                <c:pt idx="5">
                  <c:v>6.1</c:v>
                </c:pt>
                <c:pt idx="6">
                  <c:v>5.99</c:v>
                </c:pt>
              </c:numCache>
            </c:numRef>
          </c:val>
          <c:smooth val="0"/>
          <c:extLst>
            <c:ext xmlns:c16="http://schemas.microsoft.com/office/drawing/2014/chart" uri="{C3380CC4-5D6E-409C-BE32-E72D297353CC}">
              <c16:uniqueId val="{00000005-13E9-4F55-8ADF-7E5D67220937}"/>
            </c:ext>
          </c:extLst>
        </c:ser>
        <c:dLbls>
          <c:showLegendKey val="0"/>
          <c:showVal val="0"/>
          <c:showCatName val="0"/>
          <c:showSerName val="0"/>
          <c:showPercent val="0"/>
          <c:showBubbleSize val="0"/>
        </c:dLbls>
        <c:smooth val="0"/>
        <c:axId val="1504367056"/>
        <c:axId val="1504373712"/>
      </c:lineChart>
      <c:catAx>
        <c:axId val="150436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73712"/>
        <c:crosses val="autoZero"/>
        <c:auto val="1"/>
        <c:lblAlgn val="ctr"/>
        <c:lblOffset val="100"/>
        <c:noMultiLvlLbl val="0"/>
      </c:catAx>
      <c:valAx>
        <c:axId val="150437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504367056"/>
        <c:crosses val="autoZero"/>
        <c:crossBetween val="between"/>
      </c:valAx>
      <c:spPr>
        <a:noFill/>
        <a:ln>
          <a:noFill/>
        </a:ln>
        <a:effectLst/>
      </c:spPr>
    </c:plotArea>
    <c:legend>
      <c:legendPos val="b"/>
      <c:layout>
        <c:manualLayout>
          <c:xMode val="edge"/>
          <c:yMode val="edge"/>
          <c:x val="6.9291401120118362E-2"/>
          <c:y val="0.86525364955204875"/>
          <c:w val="0.89999984809894751"/>
          <c:h val="7.2016169816678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userShapes r:id="rId4"/>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Times New Roman" panose="02020603050405020304" pitchFamily="18" charset="0"/>
                <a:cs typeface="Times New Roman" panose="02020603050405020304" pitchFamily="18" charset="0"/>
              </a:rPr>
              <a:t>COVID-19 Resilience: ROA Across Enonomic Phases (2018-2024)</a:t>
            </a:r>
          </a:p>
        </c:rich>
      </c:tx>
      <c:layout>
        <c:manualLayout>
          <c:xMode val="edge"/>
          <c:yMode val="edge"/>
          <c:x val="0.14972191341951901"/>
          <c:y val="3.36137581637400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lotArea>
      <c:layout/>
      <c:barChart>
        <c:barDir val="col"/>
        <c:grouping val="clustered"/>
        <c:varyColors val="0"/>
        <c:ser>
          <c:idx val="0"/>
          <c:order val="0"/>
          <c:tx>
            <c:strRef>
              <c:f>'Economic Phase Analysis'!$B$2</c:f>
              <c:strCache>
                <c:ptCount val="1"/>
                <c:pt idx="0">
                  <c:v>Pre-COVID
Avg ROA</c:v>
                </c:pt>
              </c:strCache>
            </c:strRef>
          </c:tx>
          <c:spPr>
            <a:solidFill>
              <a:srgbClr val="00B0F0"/>
            </a:solidFill>
            <a:ln>
              <a:noFill/>
            </a:ln>
            <a:effectLst/>
          </c:spPr>
          <c:invertIfNegative val="0"/>
          <c:cat>
            <c:strRef>
              <c:f>'Economic Phase Analysis'!$A$3:$A$7</c:f>
              <c:strCache>
                <c:ptCount val="5"/>
                <c:pt idx="0">
                  <c:v>BoG</c:v>
                </c:pt>
                <c:pt idx="1">
                  <c:v>TBC</c:v>
                </c:pt>
                <c:pt idx="2">
                  <c:v>Basis</c:v>
                </c:pt>
                <c:pt idx="3">
                  <c:v>Credo</c:v>
                </c:pt>
                <c:pt idx="4">
                  <c:v>VTB</c:v>
                </c:pt>
              </c:strCache>
            </c:strRef>
          </c:cat>
          <c:val>
            <c:numRef>
              <c:f>'Economic Phase Analysis'!$B$3:$B$7</c:f>
              <c:numCache>
                <c:formatCode>0.00%</c:formatCode>
                <c:ptCount val="5"/>
                <c:pt idx="0">
                  <c:v>2.8270135365192042E-2</c:v>
                </c:pt>
                <c:pt idx="1">
                  <c:v>3.1426261845139143E-2</c:v>
                </c:pt>
                <c:pt idx="2">
                  <c:v>2.588079146445596E-2</c:v>
                </c:pt>
                <c:pt idx="3">
                  <c:v>3.1043449959649329E-2</c:v>
                </c:pt>
                <c:pt idx="4">
                  <c:v>1.7213861818287397E-2</c:v>
                </c:pt>
              </c:numCache>
            </c:numRef>
          </c:val>
          <c:extLst>
            <c:ext xmlns:c16="http://schemas.microsoft.com/office/drawing/2014/chart" uri="{C3380CC4-5D6E-409C-BE32-E72D297353CC}">
              <c16:uniqueId val="{00000000-6586-4853-9F89-B6D615744892}"/>
            </c:ext>
          </c:extLst>
        </c:ser>
        <c:ser>
          <c:idx val="1"/>
          <c:order val="1"/>
          <c:tx>
            <c:strRef>
              <c:f>'Economic Phase Analysis'!$C$2</c:f>
              <c:strCache>
                <c:ptCount val="1"/>
                <c:pt idx="0">
                  <c:v>COVID
2020 ROA</c:v>
                </c:pt>
              </c:strCache>
            </c:strRef>
          </c:tx>
          <c:spPr>
            <a:solidFill>
              <a:srgbClr val="FF0000"/>
            </a:solidFill>
            <a:ln>
              <a:noFill/>
            </a:ln>
            <a:effectLst/>
          </c:spPr>
          <c:invertIfNegative val="0"/>
          <c:cat>
            <c:strRef>
              <c:f>'Economic Phase Analysis'!$A$3:$A$7</c:f>
              <c:strCache>
                <c:ptCount val="5"/>
                <c:pt idx="0">
                  <c:v>BoG</c:v>
                </c:pt>
                <c:pt idx="1">
                  <c:v>TBC</c:v>
                </c:pt>
                <c:pt idx="2">
                  <c:v>Basis</c:v>
                </c:pt>
                <c:pt idx="3">
                  <c:v>Credo</c:v>
                </c:pt>
                <c:pt idx="4">
                  <c:v>VTB</c:v>
                </c:pt>
              </c:strCache>
            </c:strRef>
          </c:cat>
          <c:val>
            <c:numRef>
              <c:f>'Economic Phase Analysis'!$C$3:$C$7</c:f>
              <c:numCache>
                <c:formatCode>0.00%</c:formatCode>
                <c:ptCount val="5"/>
                <c:pt idx="0">
                  <c:v>1.5289913238280335E-2</c:v>
                </c:pt>
                <c:pt idx="1">
                  <c:v>1.6570701117635468E-2</c:v>
                </c:pt>
                <c:pt idx="2">
                  <c:v>1.2850529890042843E-2</c:v>
                </c:pt>
                <c:pt idx="3">
                  <c:v>9.1995275689286757E-3</c:v>
                </c:pt>
                <c:pt idx="4">
                  <c:v>1.3977967721537367E-2</c:v>
                </c:pt>
              </c:numCache>
            </c:numRef>
          </c:val>
          <c:extLst>
            <c:ext xmlns:c16="http://schemas.microsoft.com/office/drawing/2014/chart" uri="{C3380CC4-5D6E-409C-BE32-E72D297353CC}">
              <c16:uniqueId val="{00000001-6586-4853-9F89-B6D615744892}"/>
            </c:ext>
          </c:extLst>
        </c:ser>
        <c:ser>
          <c:idx val="2"/>
          <c:order val="2"/>
          <c:tx>
            <c:strRef>
              <c:f>'Economic Phase Analysis'!$D$2</c:f>
              <c:strCache>
                <c:ptCount val="1"/>
                <c:pt idx="0">
                  <c:v>Recovery 2021-22 Avg ROA</c:v>
                </c:pt>
              </c:strCache>
            </c:strRef>
          </c:tx>
          <c:spPr>
            <a:solidFill>
              <a:srgbClr val="92D050"/>
            </a:solidFill>
            <a:ln>
              <a:noFill/>
            </a:ln>
            <a:effectLst/>
          </c:spPr>
          <c:invertIfNegative val="0"/>
          <c:cat>
            <c:strRef>
              <c:f>'Economic Phase Analysis'!$A$3:$A$7</c:f>
              <c:strCache>
                <c:ptCount val="5"/>
                <c:pt idx="0">
                  <c:v>BoG</c:v>
                </c:pt>
                <c:pt idx="1">
                  <c:v>TBC</c:v>
                </c:pt>
                <c:pt idx="2">
                  <c:v>Basis</c:v>
                </c:pt>
                <c:pt idx="3">
                  <c:v>Credo</c:v>
                </c:pt>
                <c:pt idx="4">
                  <c:v>VTB</c:v>
                </c:pt>
              </c:strCache>
            </c:strRef>
          </c:cat>
          <c:val>
            <c:numRef>
              <c:f>'Economic Phase Analysis'!$D$3:$D$7</c:f>
              <c:numCache>
                <c:formatCode>0.00%</c:formatCode>
                <c:ptCount val="5"/>
                <c:pt idx="0">
                  <c:v>3.5806708723720347E-2</c:v>
                </c:pt>
                <c:pt idx="1">
                  <c:v>3.7687934788825705E-2</c:v>
                </c:pt>
                <c:pt idx="2">
                  <c:v>2.4112706069321553E-2</c:v>
                </c:pt>
                <c:pt idx="3">
                  <c:v>2.3289331976661339E-2</c:v>
                </c:pt>
                <c:pt idx="4">
                  <c:v>-2.2984882216661725E-2</c:v>
                </c:pt>
              </c:numCache>
            </c:numRef>
          </c:val>
          <c:extLst>
            <c:ext xmlns:c16="http://schemas.microsoft.com/office/drawing/2014/chart" uri="{C3380CC4-5D6E-409C-BE32-E72D297353CC}">
              <c16:uniqueId val="{00000002-6586-4853-9F89-B6D615744892}"/>
            </c:ext>
          </c:extLst>
        </c:ser>
        <c:ser>
          <c:idx val="3"/>
          <c:order val="3"/>
          <c:tx>
            <c:strRef>
              <c:f>'Economic Phase Analysis'!$E$2</c:f>
              <c:strCache>
                <c:ptCount val="1"/>
                <c:pt idx="0">
                  <c:v>Post-2022
Avg ROA</c:v>
                </c:pt>
              </c:strCache>
            </c:strRef>
          </c:tx>
          <c:spPr>
            <a:solidFill>
              <a:schemeClr val="accent2"/>
            </a:solidFill>
            <a:ln>
              <a:noFill/>
            </a:ln>
            <a:effectLst/>
          </c:spPr>
          <c:invertIfNegative val="0"/>
          <c:cat>
            <c:strRef>
              <c:f>'Economic Phase Analysis'!$A$3:$A$7</c:f>
              <c:strCache>
                <c:ptCount val="5"/>
                <c:pt idx="0">
                  <c:v>BoG</c:v>
                </c:pt>
                <c:pt idx="1">
                  <c:v>TBC</c:v>
                </c:pt>
                <c:pt idx="2">
                  <c:v>Basis</c:v>
                </c:pt>
                <c:pt idx="3">
                  <c:v>Credo</c:v>
                </c:pt>
                <c:pt idx="4">
                  <c:v>VTB</c:v>
                </c:pt>
              </c:strCache>
            </c:strRef>
          </c:cat>
          <c:val>
            <c:numRef>
              <c:f>'Economic Phase Analysis'!$E$3:$E$7</c:f>
              <c:numCache>
                <c:formatCode>0.00%</c:formatCode>
                <c:ptCount val="5"/>
                <c:pt idx="0">
                  <c:v>4.8325267060236918E-2</c:v>
                </c:pt>
                <c:pt idx="1">
                  <c:v>3.6548450456413341E-2</c:v>
                </c:pt>
                <c:pt idx="2">
                  <c:v>2.2706632432605744E-2</c:v>
                </c:pt>
                <c:pt idx="3">
                  <c:v>2.1205273965716028E-2</c:v>
                </c:pt>
                <c:pt idx="4">
                  <c:v>9.7342833686818349E-3</c:v>
                </c:pt>
              </c:numCache>
            </c:numRef>
          </c:val>
          <c:extLst>
            <c:ext xmlns:c16="http://schemas.microsoft.com/office/drawing/2014/chart" uri="{C3380CC4-5D6E-409C-BE32-E72D297353CC}">
              <c16:uniqueId val="{00000003-6586-4853-9F89-B6D615744892}"/>
            </c:ext>
          </c:extLst>
        </c:ser>
        <c:dLbls>
          <c:showLegendKey val="0"/>
          <c:showVal val="0"/>
          <c:showCatName val="0"/>
          <c:showSerName val="0"/>
          <c:showPercent val="0"/>
          <c:showBubbleSize val="0"/>
        </c:dLbls>
        <c:gapWidth val="219"/>
        <c:overlap val="-27"/>
        <c:axId val="911490559"/>
        <c:axId val="911485151"/>
      </c:barChart>
      <c:catAx>
        <c:axId val="9114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11485151"/>
        <c:crosses val="autoZero"/>
        <c:auto val="1"/>
        <c:lblAlgn val="ctr"/>
        <c:lblOffset val="100"/>
        <c:noMultiLvlLbl val="0"/>
      </c:catAx>
      <c:valAx>
        <c:axId val="911485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1149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Times New Roman" panose="02020603050405020304" pitchFamily="18" charset="0"/>
                <a:cs typeface="Times New Roman" panose="02020603050405020304" pitchFamily="18" charset="0"/>
              </a:rPr>
              <a:t>Composite Performance Scorecard</a:t>
            </a:r>
            <a:r>
              <a:rPr lang="en-US" sz="1200" b="1" baseline="0">
                <a:latin typeface="Times New Roman" panose="02020603050405020304" pitchFamily="18" charset="0"/>
                <a:cs typeface="Times New Roman" panose="02020603050405020304" pitchFamily="18" charset="0"/>
              </a:rPr>
              <a:t> (Seven-Year Average, Scored 1-10 per Ratio)</a:t>
            </a:r>
            <a:endParaRPr lang="en-US" sz="1200" b="1">
              <a:latin typeface="Times New Roman" panose="02020603050405020304" pitchFamily="18" charset="0"/>
              <a:cs typeface="Times New Roman" panose="02020603050405020304" pitchFamily="18" charset="0"/>
            </a:endParaRPr>
          </a:p>
        </c:rich>
      </c:tx>
      <c:layout>
        <c:manualLayout>
          <c:xMode val="edge"/>
          <c:yMode val="edge"/>
          <c:x val="0.1705604798473114"/>
          <c:y val="2.4626529947411692E-2"/>
        </c:manualLayout>
      </c:layout>
      <c:overlay val="0"/>
      <c:spPr>
        <a:noFill/>
        <a:ln>
          <a:noFill/>
        </a:ln>
        <a:effectLst/>
      </c:spPr>
    </c:title>
    <c:autoTitleDeleted val="0"/>
    <c:plotArea>
      <c:layout/>
      <c:radarChart>
        <c:radarStyle val="filled"/>
        <c:varyColors val="0"/>
        <c:ser>
          <c:idx val="5"/>
          <c:order val="0"/>
          <c:tx>
            <c:strRef>
              <c:f>'Key Findings'!$A$33</c:f>
              <c:strCache>
                <c:ptCount val="1"/>
                <c:pt idx="0">
                  <c:v>BoG</c:v>
                </c:pt>
              </c:strCache>
            </c:strRef>
          </c:tx>
          <c:spPr>
            <a:solidFill>
              <a:schemeClr val="accent2">
                <a:alpha val="15000"/>
              </a:schemeClr>
            </a:solidFill>
            <a:ln w="47625">
              <a:solidFill>
                <a:schemeClr val="accent2"/>
              </a:solidFill>
              <a:prstDash val="sysDot"/>
            </a:ln>
          </c:spPr>
          <c:cat>
            <c:strRef>
              <c:f>'Key Findings'!$B$32:$F$32</c:f>
              <c:strCache>
                <c:ptCount val="5"/>
                <c:pt idx="0">
                  <c:v>ROA Efficiency</c:v>
                </c:pt>
                <c:pt idx="1">
                  <c:v>ROE Shareholder Return</c:v>
                </c:pt>
                <c:pt idx="2">
                  <c:v>NIM Spread</c:v>
                </c:pt>
                <c:pt idx="3">
                  <c:v>CIR (Inverted)</c:v>
                </c:pt>
                <c:pt idx="4">
                  <c:v>NPL (Inverted)</c:v>
                </c:pt>
              </c:strCache>
            </c:strRef>
          </c:cat>
          <c:val>
            <c:numRef>
              <c:f>'Key Findings'!$B$33:$F$33</c:f>
              <c:numCache>
                <c:formatCode>0.00</c:formatCode>
                <c:ptCount val="5"/>
                <c:pt idx="0">
                  <c:v>10</c:v>
                </c:pt>
                <c:pt idx="1">
                  <c:v>10</c:v>
                </c:pt>
                <c:pt idx="2">
                  <c:v>1.7769964814548476</c:v>
                </c:pt>
                <c:pt idx="3">
                  <c:v>10</c:v>
                </c:pt>
                <c:pt idx="4">
                  <c:v>8.7900068443914581</c:v>
                </c:pt>
              </c:numCache>
            </c:numRef>
          </c:val>
          <c:extLst>
            <c:ext xmlns:c16="http://schemas.microsoft.com/office/drawing/2014/chart" uri="{C3380CC4-5D6E-409C-BE32-E72D297353CC}">
              <c16:uniqueId val="{00000010-E43A-42EF-9C9F-2E99A6F9414C}"/>
            </c:ext>
          </c:extLst>
        </c:ser>
        <c:ser>
          <c:idx val="6"/>
          <c:order val="1"/>
          <c:tx>
            <c:strRef>
              <c:f>'Key Findings'!$A$34</c:f>
              <c:strCache>
                <c:ptCount val="1"/>
                <c:pt idx="0">
                  <c:v>TBC</c:v>
                </c:pt>
              </c:strCache>
            </c:strRef>
          </c:tx>
          <c:spPr>
            <a:solidFill>
              <a:srgbClr val="00B0F0">
                <a:alpha val="15000"/>
              </a:srgbClr>
            </a:solidFill>
            <a:ln w="25400">
              <a:solidFill>
                <a:srgbClr val="002060"/>
              </a:solidFill>
              <a:prstDash val="sysDash"/>
            </a:ln>
          </c:spPr>
          <c:cat>
            <c:strRef>
              <c:f>'Key Findings'!$B$32:$F$32</c:f>
              <c:strCache>
                <c:ptCount val="5"/>
                <c:pt idx="0">
                  <c:v>ROA Efficiency</c:v>
                </c:pt>
                <c:pt idx="1">
                  <c:v>ROE Shareholder Return</c:v>
                </c:pt>
                <c:pt idx="2">
                  <c:v>NIM Spread</c:v>
                </c:pt>
                <c:pt idx="3">
                  <c:v>CIR (Inverted)</c:v>
                </c:pt>
                <c:pt idx="4">
                  <c:v>NPL (Inverted)</c:v>
                </c:pt>
              </c:strCache>
            </c:strRef>
          </c:cat>
          <c:val>
            <c:numRef>
              <c:f>'Key Findings'!$B$34:$F$34</c:f>
              <c:numCache>
                <c:formatCode>0.00</c:formatCode>
                <c:ptCount val="5"/>
                <c:pt idx="0">
                  <c:v>9.4409386195698772</c:v>
                </c:pt>
                <c:pt idx="1">
                  <c:v>8.1336668419549909</c:v>
                </c:pt>
                <c:pt idx="2">
                  <c:v>1.7028235484894829</c:v>
                </c:pt>
                <c:pt idx="3">
                  <c:v>9.8569017062492374</c:v>
                </c:pt>
                <c:pt idx="4">
                  <c:v>8.8162811471820071</c:v>
                </c:pt>
              </c:numCache>
            </c:numRef>
          </c:val>
          <c:extLst>
            <c:ext xmlns:c16="http://schemas.microsoft.com/office/drawing/2014/chart" uri="{C3380CC4-5D6E-409C-BE32-E72D297353CC}">
              <c16:uniqueId val="{00000011-E43A-42EF-9C9F-2E99A6F9414C}"/>
            </c:ext>
          </c:extLst>
        </c:ser>
        <c:ser>
          <c:idx val="7"/>
          <c:order val="2"/>
          <c:tx>
            <c:strRef>
              <c:f>'Key Findings'!$A$35</c:f>
              <c:strCache>
                <c:ptCount val="1"/>
                <c:pt idx="0">
                  <c:v>BasisBank</c:v>
                </c:pt>
              </c:strCache>
            </c:strRef>
          </c:tx>
          <c:spPr>
            <a:solidFill>
              <a:schemeClr val="tx1">
                <a:alpha val="25000"/>
              </a:schemeClr>
            </a:solidFill>
            <a:ln w="22225">
              <a:solidFill>
                <a:schemeClr val="tx1"/>
              </a:solidFill>
              <a:prstDash val="sysDash"/>
            </a:ln>
          </c:spPr>
          <c:cat>
            <c:strRef>
              <c:f>'Key Findings'!$B$32:$F$32</c:f>
              <c:strCache>
                <c:ptCount val="5"/>
                <c:pt idx="0">
                  <c:v>ROA Efficiency</c:v>
                </c:pt>
                <c:pt idx="1">
                  <c:v>ROE Shareholder Return</c:v>
                </c:pt>
                <c:pt idx="2">
                  <c:v>NIM Spread</c:v>
                </c:pt>
                <c:pt idx="3">
                  <c:v>CIR (Inverted)</c:v>
                </c:pt>
                <c:pt idx="4">
                  <c:v>NPL (Inverted)</c:v>
                </c:pt>
              </c:strCache>
            </c:strRef>
          </c:cat>
          <c:val>
            <c:numRef>
              <c:f>'Key Findings'!$B$35:$F$35</c:f>
              <c:numCache>
                <c:formatCode>0.00</c:formatCode>
                <c:ptCount val="5"/>
                <c:pt idx="0">
                  <c:v>6.2489811610363972</c:v>
                </c:pt>
                <c:pt idx="1">
                  <c:v>4.6118395240410468</c:v>
                </c:pt>
                <c:pt idx="2">
                  <c:v>0.80777442657330134</c:v>
                </c:pt>
                <c:pt idx="3">
                  <c:v>5.5167030169865976</c:v>
                </c:pt>
                <c:pt idx="4">
                  <c:v>7.5542135161394377</c:v>
                </c:pt>
              </c:numCache>
            </c:numRef>
          </c:val>
          <c:extLst>
            <c:ext xmlns:c16="http://schemas.microsoft.com/office/drawing/2014/chart" uri="{C3380CC4-5D6E-409C-BE32-E72D297353CC}">
              <c16:uniqueId val="{00000012-E43A-42EF-9C9F-2E99A6F9414C}"/>
            </c:ext>
          </c:extLst>
        </c:ser>
        <c:ser>
          <c:idx val="8"/>
          <c:order val="3"/>
          <c:tx>
            <c:strRef>
              <c:f>'Key Findings'!$A$36</c:f>
              <c:strCache>
                <c:ptCount val="1"/>
                <c:pt idx="0">
                  <c:v>Credo </c:v>
                </c:pt>
              </c:strCache>
            </c:strRef>
          </c:tx>
          <c:spPr>
            <a:solidFill>
              <a:srgbClr val="92D050">
                <a:alpha val="25000"/>
              </a:srgbClr>
            </a:solidFill>
            <a:ln w="25400">
              <a:solidFill>
                <a:srgbClr val="00B050"/>
              </a:solidFill>
              <a:prstDash val="sysDot"/>
            </a:ln>
          </c:spPr>
          <c:cat>
            <c:strRef>
              <c:f>'Key Findings'!$B$32:$F$32</c:f>
              <c:strCache>
                <c:ptCount val="5"/>
                <c:pt idx="0">
                  <c:v>ROA Efficiency</c:v>
                </c:pt>
                <c:pt idx="1">
                  <c:v>ROE Shareholder Return</c:v>
                </c:pt>
                <c:pt idx="2">
                  <c:v>NIM Spread</c:v>
                </c:pt>
                <c:pt idx="3">
                  <c:v>CIR (Inverted)</c:v>
                </c:pt>
                <c:pt idx="4">
                  <c:v>NPL (Inverted)</c:v>
                </c:pt>
              </c:strCache>
            </c:strRef>
          </c:cat>
          <c:val>
            <c:numRef>
              <c:f>'Key Findings'!$B$36:$F$36</c:f>
              <c:numCache>
                <c:formatCode>0.00</c:formatCode>
                <c:ptCount val="5"/>
                <c:pt idx="0">
                  <c:v>6.3417834376604203</c:v>
                </c:pt>
                <c:pt idx="1">
                  <c:v>5.5776743969593214</c:v>
                </c:pt>
                <c:pt idx="2">
                  <c:v>10</c:v>
                </c:pt>
                <c:pt idx="3">
                  <c:v>0</c:v>
                </c:pt>
                <c:pt idx="4">
                  <c:v>10</c:v>
                </c:pt>
              </c:numCache>
            </c:numRef>
          </c:val>
          <c:extLst>
            <c:ext xmlns:c16="http://schemas.microsoft.com/office/drawing/2014/chart" uri="{C3380CC4-5D6E-409C-BE32-E72D297353CC}">
              <c16:uniqueId val="{00000013-E43A-42EF-9C9F-2E99A6F9414C}"/>
            </c:ext>
          </c:extLst>
        </c:ser>
        <c:ser>
          <c:idx val="9"/>
          <c:order val="4"/>
          <c:tx>
            <c:strRef>
              <c:f>'Key Findings'!$A$37</c:f>
              <c:strCache>
                <c:ptCount val="1"/>
                <c:pt idx="0">
                  <c:v>VTB</c:v>
                </c:pt>
              </c:strCache>
            </c:strRef>
          </c:tx>
          <c:cat>
            <c:strRef>
              <c:f>'Key Findings'!$B$32:$F$32</c:f>
              <c:strCache>
                <c:ptCount val="5"/>
                <c:pt idx="0">
                  <c:v>ROA Efficiency</c:v>
                </c:pt>
                <c:pt idx="1">
                  <c:v>ROE Shareholder Return</c:v>
                </c:pt>
                <c:pt idx="2">
                  <c:v>NIM Spread</c:v>
                </c:pt>
                <c:pt idx="3">
                  <c:v>CIR (Inverted)</c:v>
                </c:pt>
                <c:pt idx="4">
                  <c:v>NPL (Inverted)</c:v>
                </c:pt>
              </c:strCache>
            </c:strRef>
          </c:cat>
          <c:val>
            <c:numRef>
              <c:f>'Key Findings'!$B$37:$F$37</c:f>
              <c:numCache>
                <c:formatCode>0.00</c:formatCode>
                <c:ptCount val="5"/>
                <c:pt idx="0">
                  <c:v>0</c:v>
                </c:pt>
                <c:pt idx="1">
                  <c:v>0</c:v>
                </c:pt>
                <c:pt idx="2">
                  <c:v>0</c:v>
                </c:pt>
                <c:pt idx="3">
                  <c:v>4.5581458585786923</c:v>
                </c:pt>
                <c:pt idx="4">
                  <c:v>0</c:v>
                </c:pt>
              </c:numCache>
            </c:numRef>
          </c:val>
          <c:extLst>
            <c:ext xmlns:c16="http://schemas.microsoft.com/office/drawing/2014/chart" uri="{C3380CC4-5D6E-409C-BE32-E72D297353CC}">
              <c16:uniqueId val="{00000014-E43A-42EF-9C9F-2E99A6F9414C}"/>
            </c:ext>
          </c:extLst>
        </c:ser>
        <c:ser>
          <c:idx val="0"/>
          <c:order val="5"/>
          <c:tx>
            <c:strRef>
              <c:f>'Key Findings'!$A$33</c:f>
              <c:strCache>
                <c:ptCount val="1"/>
                <c:pt idx="0">
                  <c:v>BoG</c:v>
                </c:pt>
              </c:strCache>
            </c:strRef>
          </c:tx>
          <c:spPr>
            <a:solidFill>
              <a:schemeClr val="accent2">
                <a:alpha val="15000"/>
              </a:schemeClr>
            </a:solidFill>
            <a:ln w="47625">
              <a:solidFill>
                <a:schemeClr val="accent2"/>
              </a:solidFill>
              <a:prstDash val="sysDot"/>
            </a:ln>
            <a:effectLst/>
          </c:spPr>
          <c:cat>
            <c:strRef>
              <c:f>'Key Findings'!$B$32:$F$32</c:f>
              <c:strCache>
                <c:ptCount val="5"/>
                <c:pt idx="0">
                  <c:v>ROA Efficiency</c:v>
                </c:pt>
                <c:pt idx="1">
                  <c:v>ROE Shareholder Return</c:v>
                </c:pt>
                <c:pt idx="2">
                  <c:v>NIM Spread</c:v>
                </c:pt>
                <c:pt idx="3">
                  <c:v>CIR (Inverted)</c:v>
                </c:pt>
                <c:pt idx="4">
                  <c:v>NPL (Inverted)</c:v>
                </c:pt>
              </c:strCache>
            </c:strRef>
          </c:cat>
          <c:val>
            <c:numRef>
              <c:f>'Key Findings'!$B$33:$F$33</c:f>
              <c:numCache>
                <c:formatCode>0.00</c:formatCode>
                <c:ptCount val="5"/>
                <c:pt idx="0">
                  <c:v>10</c:v>
                </c:pt>
                <c:pt idx="1">
                  <c:v>10</c:v>
                </c:pt>
                <c:pt idx="2">
                  <c:v>1.7769964814548476</c:v>
                </c:pt>
                <c:pt idx="3">
                  <c:v>10</c:v>
                </c:pt>
                <c:pt idx="4">
                  <c:v>8.7900068443914581</c:v>
                </c:pt>
              </c:numCache>
            </c:numRef>
          </c:val>
          <c:extLst>
            <c:ext xmlns:c16="http://schemas.microsoft.com/office/drawing/2014/chart" uri="{C3380CC4-5D6E-409C-BE32-E72D297353CC}">
              <c16:uniqueId val="{00000007-E43A-42EF-9C9F-2E99A6F9414C}"/>
            </c:ext>
          </c:extLst>
        </c:ser>
        <c:ser>
          <c:idx val="1"/>
          <c:order val="6"/>
          <c:tx>
            <c:strRef>
              <c:f>'Key Findings'!$A$34</c:f>
              <c:strCache>
                <c:ptCount val="1"/>
                <c:pt idx="0">
                  <c:v>TBC</c:v>
                </c:pt>
              </c:strCache>
            </c:strRef>
          </c:tx>
          <c:spPr>
            <a:solidFill>
              <a:srgbClr val="00B0F0">
                <a:alpha val="15000"/>
              </a:srgbClr>
            </a:solidFill>
            <a:ln w="25400">
              <a:solidFill>
                <a:srgbClr val="002060"/>
              </a:solidFill>
              <a:prstDash val="sysDash"/>
            </a:ln>
            <a:effectLst/>
          </c:spPr>
          <c:cat>
            <c:strRef>
              <c:f>'Key Findings'!$B$32:$F$32</c:f>
              <c:strCache>
                <c:ptCount val="5"/>
                <c:pt idx="0">
                  <c:v>ROA Efficiency</c:v>
                </c:pt>
                <c:pt idx="1">
                  <c:v>ROE Shareholder Return</c:v>
                </c:pt>
                <c:pt idx="2">
                  <c:v>NIM Spread</c:v>
                </c:pt>
                <c:pt idx="3">
                  <c:v>CIR (Inverted)</c:v>
                </c:pt>
                <c:pt idx="4">
                  <c:v>NPL (Inverted)</c:v>
                </c:pt>
              </c:strCache>
            </c:strRef>
          </c:cat>
          <c:val>
            <c:numRef>
              <c:f>'Key Findings'!$B$34:$F$34</c:f>
              <c:numCache>
                <c:formatCode>0.00</c:formatCode>
                <c:ptCount val="5"/>
                <c:pt idx="0">
                  <c:v>9.4409386195698772</c:v>
                </c:pt>
                <c:pt idx="1">
                  <c:v>8.1336668419549909</c:v>
                </c:pt>
                <c:pt idx="2">
                  <c:v>1.7028235484894829</c:v>
                </c:pt>
                <c:pt idx="3">
                  <c:v>9.8569017062492374</c:v>
                </c:pt>
                <c:pt idx="4">
                  <c:v>8.8162811471820071</c:v>
                </c:pt>
              </c:numCache>
            </c:numRef>
          </c:val>
          <c:extLst>
            <c:ext xmlns:c16="http://schemas.microsoft.com/office/drawing/2014/chart" uri="{C3380CC4-5D6E-409C-BE32-E72D297353CC}">
              <c16:uniqueId val="{00000009-E43A-42EF-9C9F-2E99A6F9414C}"/>
            </c:ext>
          </c:extLst>
        </c:ser>
        <c:ser>
          <c:idx val="2"/>
          <c:order val="7"/>
          <c:tx>
            <c:strRef>
              <c:f>'Key Findings'!$A$35</c:f>
              <c:strCache>
                <c:ptCount val="1"/>
                <c:pt idx="0">
                  <c:v>BasisBank</c:v>
                </c:pt>
              </c:strCache>
            </c:strRef>
          </c:tx>
          <c:spPr>
            <a:solidFill>
              <a:schemeClr val="tx1">
                <a:alpha val="25000"/>
              </a:schemeClr>
            </a:solidFill>
            <a:ln w="22225">
              <a:solidFill>
                <a:schemeClr val="tx1"/>
              </a:solidFill>
              <a:prstDash val="sysDash"/>
            </a:ln>
            <a:effectLst/>
          </c:spPr>
          <c:cat>
            <c:strRef>
              <c:f>'Key Findings'!$B$32:$F$32</c:f>
              <c:strCache>
                <c:ptCount val="5"/>
                <c:pt idx="0">
                  <c:v>ROA Efficiency</c:v>
                </c:pt>
                <c:pt idx="1">
                  <c:v>ROE Shareholder Return</c:v>
                </c:pt>
                <c:pt idx="2">
                  <c:v>NIM Spread</c:v>
                </c:pt>
                <c:pt idx="3">
                  <c:v>CIR (Inverted)</c:v>
                </c:pt>
                <c:pt idx="4">
                  <c:v>NPL (Inverted)</c:v>
                </c:pt>
              </c:strCache>
            </c:strRef>
          </c:cat>
          <c:val>
            <c:numRef>
              <c:f>'Key Findings'!$B$35:$F$35</c:f>
              <c:numCache>
                <c:formatCode>0.00</c:formatCode>
                <c:ptCount val="5"/>
                <c:pt idx="0">
                  <c:v>6.2489811610363972</c:v>
                </c:pt>
                <c:pt idx="1">
                  <c:v>4.6118395240410468</c:v>
                </c:pt>
                <c:pt idx="2">
                  <c:v>0.80777442657330134</c:v>
                </c:pt>
                <c:pt idx="3">
                  <c:v>5.5167030169865976</c:v>
                </c:pt>
                <c:pt idx="4">
                  <c:v>7.5542135161394377</c:v>
                </c:pt>
              </c:numCache>
            </c:numRef>
          </c:val>
          <c:extLst>
            <c:ext xmlns:c16="http://schemas.microsoft.com/office/drawing/2014/chart" uri="{C3380CC4-5D6E-409C-BE32-E72D297353CC}">
              <c16:uniqueId val="{0000000B-E43A-42EF-9C9F-2E99A6F9414C}"/>
            </c:ext>
          </c:extLst>
        </c:ser>
        <c:ser>
          <c:idx val="3"/>
          <c:order val="8"/>
          <c:tx>
            <c:strRef>
              <c:f>'Key Findings'!$A$36</c:f>
              <c:strCache>
                <c:ptCount val="1"/>
                <c:pt idx="0">
                  <c:v>Credo </c:v>
                </c:pt>
              </c:strCache>
            </c:strRef>
          </c:tx>
          <c:spPr>
            <a:solidFill>
              <a:srgbClr val="92D050">
                <a:alpha val="25000"/>
              </a:srgbClr>
            </a:solidFill>
            <a:ln w="25400">
              <a:solidFill>
                <a:srgbClr val="00B050"/>
              </a:solidFill>
              <a:prstDash val="sysDot"/>
            </a:ln>
            <a:effectLst/>
          </c:spPr>
          <c:cat>
            <c:strRef>
              <c:f>'Key Findings'!$B$32:$F$32</c:f>
              <c:strCache>
                <c:ptCount val="5"/>
                <c:pt idx="0">
                  <c:v>ROA Efficiency</c:v>
                </c:pt>
                <c:pt idx="1">
                  <c:v>ROE Shareholder Return</c:v>
                </c:pt>
                <c:pt idx="2">
                  <c:v>NIM Spread</c:v>
                </c:pt>
                <c:pt idx="3">
                  <c:v>CIR (Inverted)</c:v>
                </c:pt>
                <c:pt idx="4">
                  <c:v>NPL (Inverted)</c:v>
                </c:pt>
              </c:strCache>
            </c:strRef>
          </c:cat>
          <c:val>
            <c:numRef>
              <c:f>'Key Findings'!$B$36:$F$36</c:f>
              <c:numCache>
                <c:formatCode>0.00</c:formatCode>
                <c:ptCount val="5"/>
                <c:pt idx="0">
                  <c:v>6.3417834376604203</c:v>
                </c:pt>
                <c:pt idx="1">
                  <c:v>5.5776743969593214</c:v>
                </c:pt>
                <c:pt idx="2">
                  <c:v>10</c:v>
                </c:pt>
                <c:pt idx="3">
                  <c:v>0</c:v>
                </c:pt>
                <c:pt idx="4">
                  <c:v>10</c:v>
                </c:pt>
              </c:numCache>
            </c:numRef>
          </c:val>
          <c:extLst>
            <c:ext xmlns:c16="http://schemas.microsoft.com/office/drawing/2014/chart" uri="{C3380CC4-5D6E-409C-BE32-E72D297353CC}">
              <c16:uniqueId val="{0000000D-E43A-42EF-9C9F-2E99A6F9414C}"/>
            </c:ext>
          </c:extLst>
        </c:ser>
        <c:ser>
          <c:idx val="4"/>
          <c:order val="9"/>
          <c:tx>
            <c:strRef>
              <c:f>'Key Findings'!$A$37</c:f>
              <c:strCache>
                <c:ptCount val="1"/>
                <c:pt idx="0">
                  <c:v>VTB</c:v>
                </c:pt>
              </c:strCache>
            </c:strRef>
          </c:tx>
          <c:spPr>
            <a:solidFill>
              <a:srgbClr val="C00000"/>
            </a:solidFill>
            <a:ln w="44450">
              <a:solidFill>
                <a:srgbClr val="C00000"/>
              </a:solidFill>
              <a:prstDash val="solid"/>
            </a:ln>
            <a:effectLst/>
          </c:spPr>
          <c:cat>
            <c:strRef>
              <c:f>'Key Findings'!$B$32:$F$32</c:f>
              <c:strCache>
                <c:ptCount val="5"/>
                <c:pt idx="0">
                  <c:v>ROA Efficiency</c:v>
                </c:pt>
                <c:pt idx="1">
                  <c:v>ROE Shareholder Return</c:v>
                </c:pt>
                <c:pt idx="2">
                  <c:v>NIM Spread</c:v>
                </c:pt>
                <c:pt idx="3">
                  <c:v>CIR (Inverted)</c:v>
                </c:pt>
                <c:pt idx="4">
                  <c:v>NPL (Inverted)</c:v>
                </c:pt>
              </c:strCache>
            </c:strRef>
          </c:cat>
          <c:val>
            <c:numRef>
              <c:f>'Key Findings'!$B$37:$F$37</c:f>
              <c:numCache>
                <c:formatCode>0.00</c:formatCode>
                <c:ptCount val="5"/>
                <c:pt idx="0">
                  <c:v>0</c:v>
                </c:pt>
                <c:pt idx="1">
                  <c:v>0</c:v>
                </c:pt>
                <c:pt idx="2">
                  <c:v>0</c:v>
                </c:pt>
                <c:pt idx="3">
                  <c:v>4.5581458585786923</c:v>
                </c:pt>
                <c:pt idx="4">
                  <c:v>0</c:v>
                </c:pt>
              </c:numCache>
            </c:numRef>
          </c:val>
          <c:extLst>
            <c:ext xmlns:c16="http://schemas.microsoft.com/office/drawing/2014/chart" uri="{C3380CC4-5D6E-409C-BE32-E72D297353CC}">
              <c16:uniqueId val="{0000000F-E43A-42EF-9C9F-2E99A6F9414C}"/>
            </c:ext>
          </c:extLst>
        </c:ser>
        <c:dLbls>
          <c:showLegendKey val="0"/>
          <c:showVal val="0"/>
          <c:showCatName val="0"/>
          <c:showSerName val="0"/>
          <c:showPercent val="0"/>
          <c:showBubbleSize val="0"/>
        </c:dLbls>
        <c:axId val="519737520"/>
        <c:axId val="519744176"/>
      </c:radarChart>
      <c:catAx>
        <c:axId val="51973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19744176"/>
        <c:crosses val="autoZero"/>
        <c:auto val="1"/>
        <c:lblAlgn val="ctr"/>
        <c:lblOffset val="100"/>
        <c:noMultiLvlLbl val="0"/>
      </c:catAx>
      <c:valAx>
        <c:axId val="519744176"/>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19737520"/>
        <c:crosses val="autoZero"/>
        <c:crossBetween val="between"/>
      </c:valAx>
    </c:plotArea>
    <c:legend>
      <c:legendPos val="t"/>
      <c:legendEntry>
        <c:idx val="0"/>
        <c:delete val="1"/>
      </c:legendEntry>
      <c:legendEntry>
        <c:idx val="4"/>
        <c:delete val="1"/>
      </c:legendEntry>
      <c:legendEntry>
        <c:idx val="6"/>
        <c:delete val="1"/>
      </c:legendEntry>
      <c:legendEntry>
        <c:idx val="7"/>
        <c:delete val="1"/>
      </c:legendEntry>
      <c:legendEntry>
        <c:idx val="8"/>
        <c:delete val="1"/>
      </c:legendEntry>
      <c:layout>
        <c:manualLayout>
          <c:xMode val="edge"/>
          <c:yMode val="edge"/>
          <c:x val="5.4282454833936185E-2"/>
          <c:y val="8.1408221488577667E-2"/>
          <c:w val="0.13370726065238281"/>
          <c:h val="0.23758176248316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chart>
  <c:txPr>
    <a:bodyPr/>
    <a:lstStyle/>
    <a:p>
      <a:pPr>
        <a:defRPr/>
      </a:pPr>
      <a:endParaRPr lang="en-150"/>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15</xdr:col>
      <xdr:colOff>219226</xdr:colOff>
      <xdr:row>6</xdr:row>
      <xdr:rowOff>10582</xdr:rowOff>
    </xdr:from>
    <xdr:to>
      <xdr:col>27</xdr:col>
      <xdr:colOff>173868</xdr:colOff>
      <xdr:row>23</xdr:row>
      <xdr:rowOff>187475</xdr:rowOff>
    </xdr:to>
    <xdr:graphicFrame macro="">
      <xdr:nvGraphicFramePr>
        <xdr:cNvPr id="3" name="Chart 2">
          <a:extLst>
            <a:ext uri="{FF2B5EF4-FFF2-40B4-BE49-F238E27FC236}">
              <a16:creationId xmlns:a16="http://schemas.microsoft.com/office/drawing/2014/main" id="{F26CAE42-5099-4849-A85A-68F548D77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0.23304</cdr:x>
      <cdr:y>0.0137</cdr:y>
    </cdr:from>
    <cdr:to>
      <cdr:x>0.87869</cdr:x>
      <cdr:y>0.09393</cdr:y>
    </cdr:to>
    <cdr:sp macro="" textlink="">
      <cdr:nvSpPr>
        <cdr:cNvPr id="5" name="TextBox 4">
          <a:extLst xmlns:a="http://schemas.openxmlformats.org/drawingml/2006/main">
            <a:ext uri="{FF2B5EF4-FFF2-40B4-BE49-F238E27FC236}">
              <a16:creationId xmlns:a16="http://schemas.microsoft.com/office/drawing/2014/main" id="{BE45E64B-62DC-4AC9-A810-2AFFFBFBC142}"/>
            </a:ext>
          </a:extLst>
        </cdr:cNvPr>
        <cdr:cNvSpPr txBox="1"/>
      </cdr:nvSpPr>
      <cdr:spPr>
        <a:xfrm xmlns:a="http://schemas.openxmlformats.org/drawingml/2006/main">
          <a:off x="1934291" y="54429"/>
          <a:ext cx="5359138" cy="3187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b="1">
              <a:latin typeface="Times New Roman" panose="02020603050405020304" pitchFamily="18" charset="0"/>
              <a:cs typeface="Times New Roman" panose="02020603050405020304" pitchFamily="18" charset="0"/>
            </a:rPr>
            <a:t>Net</a:t>
          </a:r>
          <a:r>
            <a:rPr lang="en-US" sz="1600" b="1" baseline="0">
              <a:latin typeface="Times New Roman" panose="02020603050405020304" pitchFamily="18" charset="0"/>
              <a:cs typeface="Times New Roman" panose="02020603050405020304" pitchFamily="18" charset="0"/>
            </a:rPr>
            <a:t> Profit - All Banks (2018-2024, GEL Thousands)</a:t>
          </a:r>
          <a:endParaRPr lang="en-150" sz="1600" b="1">
            <a:latin typeface="Times New Roman" panose="02020603050405020304" pitchFamily="18" charset="0"/>
            <a:cs typeface="Times New Roman" panose="02020603050405020304" pitchFamily="18"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377112</xdr:colOff>
      <xdr:row>9</xdr:row>
      <xdr:rowOff>193221</xdr:rowOff>
    </xdr:from>
    <xdr:to>
      <xdr:col>8</xdr:col>
      <xdr:colOff>69979</xdr:colOff>
      <xdr:row>24</xdr:row>
      <xdr:rowOff>20605</xdr:rowOff>
    </xdr:to>
    <xdr:graphicFrame macro="">
      <xdr:nvGraphicFramePr>
        <xdr:cNvPr id="3" name="Chart 2">
          <a:extLst>
            <a:ext uri="{FF2B5EF4-FFF2-40B4-BE49-F238E27FC236}">
              <a16:creationId xmlns:a16="http://schemas.microsoft.com/office/drawing/2014/main" id="{D13987CA-4C1E-4B8B-B1C0-AF95A2255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453017</xdr:colOff>
      <xdr:row>1</xdr:row>
      <xdr:rowOff>162622</xdr:rowOff>
    </xdr:from>
    <xdr:to>
      <xdr:col>16</xdr:col>
      <xdr:colOff>464633</xdr:colOff>
      <xdr:row>16</xdr:row>
      <xdr:rowOff>165282</xdr:rowOff>
    </xdr:to>
    <xdr:graphicFrame macro="">
      <xdr:nvGraphicFramePr>
        <xdr:cNvPr id="2" name="Chart 2">
          <a:extLst>
            <a:ext uri="{FF2B5EF4-FFF2-40B4-BE49-F238E27FC236}">
              <a16:creationId xmlns:a16="http://schemas.microsoft.com/office/drawing/2014/main" id="{24DD5270-8CE3-43EE-9434-87ABEF0DD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221291</xdr:colOff>
      <xdr:row>2</xdr:row>
      <xdr:rowOff>31037</xdr:rowOff>
    </xdr:from>
    <xdr:to>
      <xdr:col>24</xdr:col>
      <xdr:colOff>593730</xdr:colOff>
      <xdr:row>16</xdr:row>
      <xdr:rowOff>121578</xdr:rowOff>
    </xdr:to>
    <xdr:graphicFrame macro="">
      <xdr:nvGraphicFramePr>
        <xdr:cNvPr id="3" name="Chart 6">
          <a:extLst>
            <a:ext uri="{FF2B5EF4-FFF2-40B4-BE49-F238E27FC236}">
              <a16:creationId xmlns:a16="http://schemas.microsoft.com/office/drawing/2014/main" id="{6074188B-84B3-46AC-89A9-DC11002C7C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12676</xdr:colOff>
      <xdr:row>17</xdr:row>
      <xdr:rowOff>17659</xdr:rowOff>
    </xdr:from>
    <xdr:to>
      <xdr:col>18</xdr:col>
      <xdr:colOff>539025</xdr:colOff>
      <xdr:row>34</xdr:row>
      <xdr:rowOff>50331</xdr:rowOff>
    </xdr:to>
    <xdr:graphicFrame macro="">
      <xdr:nvGraphicFramePr>
        <xdr:cNvPr id="4" name="Chart 2">
          <a:extLst>
            <a:ext uri="{FF2B5EF4-FFF2-40B4-BE49-F238E27FC236}">
              <a16:creationId xmlns:a16="http://schemas.microsoft.com/office/drawing/2014/main" id="{B58D5D9F-487D-42F9-BFA0-93DA4B915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262224</xdr:colOff>
      <xdr:row>44</xdr:row>
      <xdr:rowOff>69695</xdr:rowOff>
    </xdr:from>
    <xdr:to>
      <xdr:col>20</xdr:col>
      <xdr:colOff>325245</xdr:colOff>
      <xdr:row>60</xdr:row>
      <xdr:rowOff>74776</xdr:rowOff>
    </xdr:to>
    <xdr:graphicFrame macro="">
      <xdr:nvGraphicFramePr>
        <xdr:cNvPr id="5" name="Chart 2">
          <a:extLst>
            <a:ext uri="{FF2B5EF4-FFF2-40B4-BE49-F238E27FC236}">
              <a16:creationId xmlns:a16="http://schemas.microsoft.com/office/drawing/2014/main" id="{286DE576-2B79-455D-B81F-D801E9EE1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155058</xdr:colOff>
      <xdr:row>19</xdr:row>
      <xdr:rowOff>132906</xdr:rowOff>
    </xdr:from>
    <xdr:to>
      <xdr:col>29</xdr:col>
      <xdr:colOff>88605</xdr:colOff>
      <xdr:row>39</xdr:row>
      <xdr:rowOff>60379</xdr:rowOff>
    </xdr:to>
    <xdr:graphicFrame macro="">
      <xdr:nvGraphicFramePr>
        <xdr:cNvPr id="6" name="Chart 2">
          <a:extLst>
            <a:ext uri="{FF2B5EF4-FFF2-40B4-BE49-F238E27FC236}">
              <a16:creationId xmlns:a16="http://schemas.microsoft.com/office/drawing/2014/main" id="{1664D0E0-A4B7-4FE0-BBA8-6DCF7ED8D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161534</xdr:colOff>
      <xdr:row>68</xdr:row>
      <xdr:rowOff>87561</xdr:rowOff>
    </xdr:from>
    <xdr:to>
      <xdr:col>18</xdr:col>
      <xdr:colOff>285216</xdr:colOff>
      <xdr:row>89</xdr:row>
      <xdr:rowOff>122464</xdr:rowOff>
    </xdr:to>
    <xdr:graphicFrame macro="">
      <xdr:nvGraphicFramePr>
        <xdr:cNvPr id="7" name="Chart 2">
          <a:extLst>
            <a:ext uri="{FF2B5EF4-FFF2-40B4-BE49-F238E27FC236}">
              <a16:creationId xmlns:a16="http://schemas.microsoft.com/office/drawing/2014/main" id="{40ED05AA-C7B4-4E58-9E17-F68F6D4BF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185006</xdr:colOff>
      <xdr:row>45</xdr:row>
      <xdr:rowOff>79942</xdr:rowOff>
    </xdr:from>
    <xdr:to>
      <xdr:col>31</xdr:col>
      <xdr:colOff>519890</xdr:colOff>
      <xdr:row>59</xdr:row>
      <xdr:rowOff>178099</xdr:rowOff>
    </xdr:to>
    <xdr:graphicFrame macro="">
      <xdr:nvGraphicFramePr>
        <xdr:cNvPr id="8" name="Chart 1">
          <a:extLst>
            <a:ext uri="{FF2B5EF4-FFF2-40B4-BE49-F238E27FC236}">
              <a16:creationId xmlns:a16="http://schemas.microsoft.com/office/drawing/2014/main" id="{44AF787C-4B10-439B-A855-DA07E3AFB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0.55157</cdr:x>
      <cdr:y>0.16029</cdr:y>
    </cdr:from>
    <cdr:to>
      <cdr:x>0.66593</cdr:x>
      <cdr:y>0.86068</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541758" y="477004"/>
          <a:ext cx="527045" cy="2084295"/>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0.38823</cdr:x>
      <cdr:y>0.16405</cdr:y>
    </cdr:from>
    <cdr:to>
      <cdr:x>0.46709</cdr:x>
      <cdr:y>0.86444</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1789071" y="488212"/>
          <a:ext cx="363416" cy="2084294"/>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0.55157</cdr:x>
      <cdr:y>0.18119</cdr:y>
    </cdr:from>
    <cdr:to>
      <cdr:x>0.66593</cdr:x>
      <cdr:y>0.86068</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569593" y="499642"/>
          <a:ext cx="532768" cy="1873718"/>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0.38823</cdr:x>
      <cdr:y>0.18613</cdr:y>
    </cdr:from>
    <cdr:to>
      <cdr:x>0.46709</cdr:x>
      <cdr:y>0.86444</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1808643" y="513249"/>
          <a:ext cx="367384" cy="1870480"/>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0.54352</cdr:x>
      <cdr:y>0.1344</cdr:y>
    </cdr:from>
    <cdr:to>
      <cdr:x>0.65788</cdr:x>
      <cdr:y>0.83479</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921636" y="449543"/>
          <a:ext cx="614736" cy="2342647"/>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0.38622</cdr:x>
      <cdr:y>0.13169</cdr:y>
    </cdr:from>
    <cdr:to>
      <cdr:x>0.46508</cdr:x>
      <cdr:y>0.83208</cdr:y>
    </cdr:to>
    <cdr:sp macro="" textlink="">
      <cdr:nvSpPr>
        <cdr:cNvPr id="4"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2076083" y="440471"/>
          <a:ext cx="423907" cy="2342647"/>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5"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0.55157</cdr:x>
      <cdr:y>0.16029</cdr:y>
    </cdr:from>
    <cdr:to>
      <cdr:x>0.66593</cdr:x>
      <cdr:y>0.86068</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541758" y="477004"/>
          <a:ext cx="527045" cy="2084295"/>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0.38823</cdr:x>
      <cdr:y>0.16405</cdr:y>
    </cdr:from>
    <cdr:to>
      <cdr:x>0.46709</cdr:x>
      <cdr:y>0.86444</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1789071" y="488212"/>
          <a:ext cx="363416" cy="2084294"/>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9.xml><?xml version="1.0" encoding="utf-8"?>
<c:userShapes xmlns:c="http://schemas.openxmlformats.org/drawingml/2006/chart">
  <cdr:relSizeAnchor xmlns:cdr="http://schemas.openxmlformats.org/drawingml/2006/chartDrawing">
    <cdr:from>
      <cdr:x>0.54115</cdr:x>
      <cdr:y>0.12731</cdr:y>
    </cdr:from>
    <cdr:to>
      <cdr:x>0.65551</cdr:x>
      <cdr:y>0.8277</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911200" y="475815"/>
          <a:ext cx="615212" cy="2617688"/>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0.37157</cdr:x>
      <cdr:y>0.12507</cdr:y>
    </cdr:from>
    <cdr:to>
      <cdr:x>0.45043</cdr:x>
      <cdr:y>0.82546</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1998877" y="467456"/>
          <a:ext cx="424236" cy="2617689"/>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0.55157</cdr:x>
      <cdr:y>0.09295</cdr:y>
    </cdr:from>
    <cdr:to>
      <cdr:x>0.66593</cdr:x>
      <cdr:y>0.86068</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3107862" y="375082"/>
          <a:ext cx="644370" cy="3098109"/>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0.38823</cdr:x>
      <cdr:y>0.08958</cdr:y>
    </cdr:from>
    <cdr:to>
      <cdr:x>0.46709</cdr:x>
      <cdr:y>0.86444</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2187511" y="361475"/>
          <a:ext cx="444342" cy="3126889"/>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0.26354</cdr:x>
      <cdr:y>0.92272</cdr:y>
    </cdr:from>
    <cdr:to>
      <cdr:x>0.85131</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484929" y="3723546"/>
          <a:ext cx="3311837" cy="3118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0.55157</cdr:x>
      <cdr:y>0.16029</cdr:y>
    </cdr:from>
    <cdr:to>
      <cdr:x>0.66593</cdr:x>
      <cdr:y>0.86068</cdr:y>
    </cdr:to>
    <cdr:sp macro="" textlink="">
      <cdr:nvSpPr>
        <cdr:cNvPr id="3" name="Rectangle 2">
          <a:extLst xmlns:a="http://schemas.openxmlformats.org/drawingml/2006/main">
            <a:ext uri="{FF2B5EF4-FFF2-40B4-BE49-F238E27FC236}">
              <a16:creationId xmlns:a16="http://schemas.microsoft.com/office/drawing/2014/main" id="{77C34E59-2C1C-4152-99C3-A5E324321A25}"/>
            </a:ext>
          </a:extLst>
        </cdr:cNvPr>
        <cdr:cNvSpPr/>
      </cdr:nvSpPr>
      <cdr:spPr>
        <a:xfrm xmlns:a="http://schemas.openxmlformats.org/drawingml/2006/main">
          <a:off x="2541758" y="477004"/>
          <a:ext cx="527045" cy="2084295"/>
        </a:xfrm>
        <a:prstGeom xmlns:a="http://schemas.openxmlformats.org/drawingml/2006/main" prst="rect">
          <a:avLst/>
        </a:prstGeom>
        <a:solidFill xmlns:a="http://schemas.openxmlformats.org/drawingml/2006/main">
          <a:srgbClr val="00B050">
            <a:alpha val="20000"/>
          </a:srgb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150"/>
        </a:p>
      </cdr:txBody>
    </cdr:sp>
  </cdr:relSizeAnchor>
  <cdr:relSizeAnchor xmlns:cdr="http://schemas.openxmlformats.org/drawingml/2006/chartDrawing">
    <cdr:from>
      <cdr:x>0.38823</cdr:x>
      <cdr:y>0.16405</cdr:y>
    </cdr:from>
    <cdr:to>
      <cdr:x>0.46709</cdr:x>
      <cdr:y>0.86444</cdr:y>
    </cdr:to>
    <cdr:sp macro="" textlink="">
      <cdr:nvSpPr>
        <cdr:cNvPr id="2" name="Rectangle 1">
          <a:extLst xmlns:a="http://schemas.openxmlformats.org/drawingml/2006/main">
            <a:ext uri="{FF2B5EF4-FFF2-40B4-BE49-F238E27FC236}">
              <a16:creationId xmlns:a16="http://schemas.microsoft.com/office/drawing/2014/main" id="{850093EB-569A-46E0-B782-6861EB95FE1A}"/>
            </a:ext>
          </a:extLst>
        </cdr:cNvPr>
        <cdr:cNvSpPr/>
      </cdr:nvSpPr>
      <cdr:spPr>
        <a:xfrm xmlns:a="http://schemas.openxmlformats.org/drawingml/2006/main">
          <a:off x="1789071" y="488212"/>
          <a:ext cx="363416" cy="2084294"/>
        </a:xfrm>
        <a:prstGeom xmlns:a="http://schemas.openxmlformats.org/drawingml/2006/main" prst="rect">
          <a:avLst/>
        </a:prstGeom>
        <a:solidFill xmlns:a="http://schemas.openxmlformats.org/drawingml/2006/main">
          <a:schemeClr val="accent6">
            <a:lumMod val="40000"/>
            <a:lumOff val="60000"/>
            <a:alpha val="30000"/>
          </a:schemeClr>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150"/>
        </a:p>
      </cdr:txBody>
    </cdr:sp>
  </cdr:relSizeAnchor>
  <cdr:relSizeAnchor xmlns:cdr="http://schemas.openxmlformats.org/drawingml/2006/chartDrawing">
    <cdr:from>
      <cdr:x>0.23372</cdr:x>
      <cdr:y>0.90586</cdr:y>
    </cdr:from>
    <cdr:to>
      <cdr:x>0.84165</cdr:x>
      <cdr:y>1</cdr:y>
    </cdr:to>
    <cdr:sp macro="" textlink="">
      <cdr:nvSpPr>
        <cdr:cNvPr id="4" name="TextBox 3">
          <a:extLst xmlns:a="http://schemas.openxmlformats.org/drawingml/2006/main">
            <a:ext uri="{FF2B5EF4-FFF2-40B4-BE49-F238E27FC236}">
              <a16:creationId xmlns:a16="http://schemas.microsoft.com/office/drawing/2014/main" id="{78EE3861-10B2-46D6-9412-08D6E49113D6}"/>
            </a:ext>
          </a:extLst>
        </cdr:cNvPr>
        <cdr:cNvSpPr txBox="1"/>
      </cdr:nvSpPr>
      <cdr:spPr>
        <a:xfrm xmlns:a="http://schemas.openxmlformats.org/drawingml/2006/main">
          <a:off x="1077063" y="2868335"/>
          <a:ext cx="2801472" cy="2980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150" sz="1100"/>
            <a:t>🟥</a:t>
          </a:r>
          <a:r>
            <a:rPr lang="en-US" sz="900">
              <a:solidFill>
                <a:schemeClr val="accent1"/>
              </a:solidFill>
            </a:rPr>
            <a:t>COVID</a:t>
          </a:r>
          <a:r>
            <a:rPr lang="en-US" sz="900" baseline="0">
              <a:solidFill>
                <a:schemeClr val="accent1"/>
              </a:solidFill>
            </a:rPr>
            <a:t> shock 2020 </a:t>
          </a:r>
          <a:r>
            <a:rPr lang="en-150" sz="1100"/>
            <a:t>🟩</a:t>
          </a:r>
          <a:r>
            <a:rPr lang="en-US" sz="1100"/>
            <a:t> </a:t>
          </a:r>
          <a:r>
            <a:rPr lang="en-US" sz="900">
              <a:solidFill>
                <a:schemeClr val="accent1"/>
              </a:solidFill>
            </a:rPr>
            <a:t>Recovery</a:t>
          </a:r>
          <a:r>
            <a:rPr lang="en-US" sz="900" baseline="0">
              <a:solidFill>
                <a:schemeClr val="accent1"/>
              </a:solidFill>
            </a:rPr>
            <a:t> 2021-22</a:t>
          </a:r>
          <a:endParaRPr lang="en-150" sz="900">
            <a:solidFill>
              <a:schemeClr val="accent1"/>
            </a:solidFill>
          </a:endParaRPr>
        </a:p>
      </cdr:txBody>
    </cdr:sp>
  </cdr:relSizeAnchor>
</c:userShapes>
</file>

<file path=xl/drawings/drawing12.xml><?xml version="1.0" encoding="utf-8"?>
<xdr:wsDr xmlns:xdr="http://schemas.openxmlformats.org/drawingml/2006/spreadsheetDrawing" xmlns:a="http://schemas.openxmlformats.org/drawingml/2006/main">
  <xdr:twoCellAnchor>
    <xdr:from>
      <xdr:col>11</xdr:col>
      <xdr:colOff>124757</xdr:colOff>
      <xdr:row>1</xdr:row>
      <xdr:rowOff>370679</xdr:rowOff>
    </xdr:from>
    <xdr:to>
      <xdr:col>23</xdr:col>
      <xdr:colOff>90600</xdr:colOff>
      <xdr:row>22</xdr:row>
      <xdr:rowOff>29441</xdr:rowOff>
    </xdr:to>
    <xdr:graphicFrame macro="">
      <xdr:nvGraphicFramePr>
        <xdr:cNvPr id="2" name="Chart 1">
          <a:extLst>
            <a:ext uri="{FF2B5EF4-FFF2-40B4-BE49-F238E27FC236}">
              <a16:creationId xmlns:a16="http://schemas.microsoft.com/office/drawing/2014/main" id="{6989EFB5-D956-4DC7-9F3E-E9F4232FE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398821</xdr:colOff>
      <xdr:row>25</xdr:row>
      <xdr:rowOff>81186</xdr:rowOff>
    </xdr:from>
    <xdr:to>
      <xdr:col>6</xdr:col>
      <xdr:colOff>281066</xdr:colOff>
      <xdr:row>54</xdr:row>
      <xdr:rowOff>78073</xdr:rowOff>
    </xdr:to>
    <xdr:graphicFrame macro="">
      <xdr:nvGraphicFramePr>
        <xdr:cNvPr id="8" name="Chart 7">
          <a:extLst>
            <a:ext uri="{FF2B5EF4-FFF2-40B4-BE49-F238E27FC236}">
              <a16:creationId xmlns:a16="http://schemas.microsoft.com/office/drawing/2014/main" id="{CC4D88D4-4D39-48A7-825C-704DA4BF6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447675</xdr:colOff>
      <xdr:row>1</xdr:row>
      <xdr:rowOff>47625</xdr:rowOff>
    </xdr:from>
    <xdr:to>
      <xdr:col>11</xdr:col>
      <xdr:colOff>47625</xdr:colOff>
      <xdr:row>24</xdr:row>
      <xdr:rowOff>179294</xdr:rowOff>
    </xdr:to>
    <xdr:sp macro="" textlink="">
      <xdr:nvSpPr>
        <xdr:cNvPr id="2" name="TextBox 1">
          <a:extLst>
            <a:ext uri="{FF2B5EF4-FFF2-40B4-BE49-F238E27FC236}">
              <a16:creationId xmlns:a16="http://schemas.microsoft.com/office/drawing/2014/main" id="{473DC729-19AA-4314-AB96-078CA14054F0}"/>
            </a:ext>
          </a:extLst>
        </xdr:cNvPr>
        <xdr:cNvSpPr txBox="1"/>
      </xdr:nvSpPr>
      <xdr:spPr>
        <a:xfrm>
          <a:off x="447675" y="238125"/>
          <a:ext cx="6256244" cy="45131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Conclusions:</a:t>
          </a:r>
        </a:p>
        <a:p>
          <a:endParaRPr lang="en-US" sz="1100"/>
        </a:p>
        <a:p>
          <a:r>
            <a:rPr lang="en-US" sz="1100"/>
            <a:t>BOG</a:t>
          </a:r>
          <a:r>
            <a:rPr lang="en-US" sz="1100" baseline="0"/>
            <a:t> is the sector profitability leader - its seven year ROA and ROE exceed competitors. Primary drivers are: cost efficiency CIR, a high and stable NIM, strong asset quality (NPL constantly lower than 2.5), equity miltiplier ~8 </a:t>
          </a:r>
        </a:p>
        <a:p>
          <a:endParaRPr lang="en-US" sz="1100" baseline="0"/>
        </a:p>
        <a:p>
          <a:r>
            <a:rPr lang="en-US" sz="1100" baseline="0"/>
            <a:t>TBC bank is a close second - seven year average ROA of 3.28 and ROE 22.8. However, unlike BOG, TBC doesn't have a clear upward trend post-2021, can be because of its incremental investment costs of its Uzbekistan expansion</a:t>
          </a:r>
        </a:p>
        <a:p>
          <a:endParaRPr lang="en-US" sz="1100" baseline="0"/>
        </a:p>
        <a:p>
          <a:r>
            <a:rPr lang="en-US" sz="1100" baseline="0"/>
            <a:t>CIR is the most powerful single ratio to differentiating high performing banks from low performing ones. BOG and TBC have 10-20 percent advantage over Basis and Credo, which also translates into higher ROA and ROE. For georgian banking, cost efficiency is the primary source of competitive advantage.</a:t>
          </a:r>
        </a:p>
        <a:p>
          <a:endParaRPr lang="en-US" sz="1100" baseline="0"/>
        </a:p>
        <a:p>
          <a:r>
            <a:rPr lang="en-US" sz="1100" baseline="0"/>
            <a:t>Credo Bank has the best levels of NIM out of all 5 banks + very stable NPL (averaging 0.92 percent), which is competitive for lending segment. However, its ROE is below the market leaders, and CIR higher, which indicates that while loan management is important, it doesn't fully compensate for cost efficiency (CIR)</a:t>
          </a:r>
        </a:p>
        <a:p>
          <a:endParaRPr lang="en-US" sz="1100" baseline="0"/>
        </a:p>
        <a:p>
          <a:r>
            <a:rPr lang="en-US" sz="1100" baseline="0"/>
            <a:t>VTB bank is the clear underperformer among the group. its pre-2022 performance was quite modest and stable, post-2022 it collapsed - net loss in 2022, near-zero profit in 2023-24, NPL of 58.5% by 2024 - which are caused by international sanctions imposed on its Russian parent. This case shows us the importance of ownership structure and risk assessment for bank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a Bibichadze" refreshedDate="46153.849291319442" createdVersion="7" refreshedVersion="7" minRefreshableVersion="3" recordCount="35" xr:uid="{4EDB9A6C-A7AC-473A-B91A-5FFF2BB0995B}">
  <cacheSource type="worksheet">
    <worksheetSource ref="A1:C36" sheet="Calculated_Ratios"/>
  </cacheSource>
  <cacheFields count="3">
    <cacheField name="Bank" numFmtId="0">
      <sharedItems count="5">
        <s v="BoG"/>
        <s v="TBC"/>
        <s v="Basis"/>
        <s v="Credo"/>
        <s v="VTB"/>
      </sharedItems>
    </cacheField>
    <cacheField name="Year" numFmtId="0">
      <sharedItems containsSemiMixedTypes="0" containsString="0" containsNumber="1" containsInteger="1" minValue="2018" maxValue="2024" count="7">
        <n v="2018"/>
        <n v="2019"/>
        <n v="2020"/>
        <n v="2021"/>
        <n v="2022"/>
        <n v="2023"/>
        <n v="2024"/>
      </sharedItems>
    </cacheField>
    <cacheField name="ROA" numFmtId="10">
      <sharedItems containsSemiMixedTypes="0" containsString="0" containsNumber="1" minValue="-6.1564123032468845E-2" maxValue="5.2015563130616345E-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a Bibichadze" refreshedDate="46153.853210532405" createdVersion="7" refreshedVersion="7" minRefreshableVersion="3" recordCount="35" xr:uid="{FD64A4C3-1B8A-47B4-AD10-7FF816FAF5B7}">
  <cacheSource type="worksheet">
    <worksheetSource ref="A1:H36" sheet="Calculated_Ratios"/>
  </cacheSource>
  <cacheFields count="8">
    <cacheField name="Bank" numFmtId="0">
      <sharedItems count="5">
        <s v="BoG"/>
        <s v="TBC"/>
        <s v="Basis"/>
        <s v="Credo"/>
        <s v="VTB"/>
      </sharedItems>
    </cacheField>
    <cacheField name="Year" numFmtId="0">
      <sharedItems containsSemiMixedTypes="0" containsString="0" containsNumber="1" containsInteger="1" minValue="2018" maxValue="2024" count="7">
        <n v="2018"/>
        <n v="2019"/>
        <n v="2020"/>
        <n v="2021"/>
        <n v="2022"/>
        <n v="2023"/>
        <n v="2024"/>
      </sharedItems>
    </cacheField>
    <cacheField name="ROA" numFmtId="10">
      <sharedItems containsSemiMixedTypes="0" containsString="0" containsNumber="1" minValue="-6.1564123032468845E-2" maxValue="5.2015563130616345E-2"/>
    </cacheField>
    <cacheField name="ROE" numFmtId="10">
      <sharedItems containsSemiMixedTypes="0" containsString="0" containsNumber="1" minValue="-0.23004593375463364" maxValue="0.36457034471841843"/>
    </cacheField>
    <cacheField name="NIM_approx" numFmtId="10">
      <sharedItems containsSemiMixedTypes="0" containsString="0" containsNumber="1" minValue="1.6710902928890669E-2" maxValue="0.14543076154573192"/>
    </cacheField>
    <cacheField name="CIR" numFmtId="10">
      <sharedItems containsSemiMixedTypes="0" containsString="0" containsNumber="1" minValue="-0.61455105303673296" maxValue="0.88861966546818816"/>
    </cacheField>
    <cacheField name="NPL_Ratio" numFmtId="10">
      <sharedItems containsSemiMixedTypes="0" containsString="0" containsNumber="1" minValue="4.4341415899075108E-3" maxValue="0.58546942794719514"/>
    </cacheField>
    <cacheField name="Loan-to-Asset Ratio" numFmtId="10">
      <sharedItems containsSemiMixedTypes="0" containsString="0" containsNumber="1" minValue="9.8082134859481931E-2" maxValue="0.4953939258902548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a Bibichadze" refreshedDate="46155.883946875001" createdVersion="7" refreshedVersion="7" minRefreshableVersion="3" recordCount="35" xr:uid="{DCEF340D-983B-4FB3-A14C-A323DE72126A}">
  <cacheSource type="worksheet">
    <worksheetSource ref="A1:I36" sheet="Calculated_Ratios"/>
  </cacheSource>
  <cacheFields count="9">
    <cacheField name="Bank" numFmtId="0">
      <sharedItems count="5">
        <s v="BoG"/>
        <s v="TBC"/>
        <s v="Basis"/>
        <s v="Credo"/>
        <s v="VTB"/>
      </sharedItems>
    </cacheField>
    <cacheField name="Year" numFmtId="0">
      <sharedItems containsSemiMixedTypes="0" containsString="0" containsNumber="1" containsInteger="1" minValue="2018" maxValue="2024" count="7">
        <n v="2018"/>
        <n v="2019"/>
        <n v="2020"/>
        <n v="2021"/>
        <n v="2022"/>
        <n v="2023"/>
        <n v="2024"/>
      </sharedItems>
    </cacheField>
    <cacheField name="ROA" numFmtId="10">
      <sharedItems containsSemiMixedTypes="0" containsString="0" containsNumber="1" minValue="-6.1564123032468845E-2" maxValue="5.2015563130616345E-2"/>
    </cacheField>
    <cacheField name="ROE" numFmtId="10">
      <sharedItems containsSemiMixedTypes="0" containsString="0" containsNumber="1" minValue="-0.23004593375463364" maxValue="0.36457034471841843"/>
    </cacheField>
    <cacheField name="NIM_approx" numFmtId="10">
      <sharedItems containsSemiMixedTypes="0" containsString="0" containsNumber="1" minValue="1.6710902928890669E-2" maxValue="0.14543076154573192"/>
    </cacheField>
    <cacheField name="CIR" numFmtId="10">
      <sharedItems containsSemiMixedTypes="0" containsString="0" containsNumber="1" minValue="-0.61455105303673296" maxValue="0.88861966546818816"/>
    </cacheField>
    <cacheField name="NPL_Ratio" numFmtId="10">
      <sharedItems containsSemiMixedTypes="0" containsString="0" containsNumber="1" minValue="4.4341415899075108E-3" maxValue="0.58546942794719514"/>
    </cacheField>
    <cacheField name="Loan-to-Asset Ratio" numFmtId="10">
      <sharedItems containsSemiMixedTypes="0" containsString="0" containsNumber="1" minValue="9.8082134859481931E-2" maxValue="0.49539392589025488"/>
    </cacheField>
    <cacheField name="Equity Multiplier" numFmtId="2">
      <sharedItems containsSemiMixedTypes="0" containsString="0" containsNumber="1" minValue="1.3858722579200304" maxValue="8.825463198227106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ta Bibichadze" refreshedDate="46182.801712499997" createdVersion="7" refreshedVersion="7" minRefreshableVersion="3" recordCount="35" xr:uid="{7A43054E-68D3-484E-B391-99248A071F96}">
  <cacheSource type="worksheet">
    <worksheetSource ref="A1:C36" sheet="Net Profit Growth"/>
  </cacheSource>
  <cacheFields count="3">
    <cacheField name="Bank" numFmtId="0">
      <sharedItems count="5">
        <s v="BoG"/>
        <s v="TBC"/>
        <s v="Basis"/>
        <s v="Credo"/>
        <s v="VTB"/>
      </sharedItems>
    </cacheField>
    <cacheField name="Year" numFmtId="0">
      <sharedItems containsSemiMixedTypes="0" containsString="0" containsNumber="1" containsInteger="1" minValue="2018" maxValue="2024" count="7">
        <n v="2018"/>
        <n v="2019"/>
        <n v="2020"/>
        <n v="2021"/>
        <n v="2022"/>
        <n v="2023"/>
        <n v="2024"/>
      </sharedItems>
    </cacheField>
    <cacheField name="Net_Profit" numFmtId="0">
      <sharedItems containsSemiMixedTypes="0" containsString="0" containsNumber="1" containsInteger="1" minValue="-83562" maxValue="18378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2.5311241183831466E-2"/>
  </r>
  <r>
    <x v="0"/>
    <x v="1"/>
    <n v="3.1229029546552618E-2"/>
  </r>
  <r>
    <x v="0"/>
    <x v="2"/>
    <n v="1.5289913238280335E-2"/>
  </r>
  <r>
    <x v="0"/>
    <x v="3"/>
    <n v="3.311012595327642E-2"/>
  </r>
  <r>
    <x v="0"/>
    <x v="4"/>
    <n v="3.8503291494164274E-2"/>
  </r>
  <r>
    <x v="0"/>
    <x v="5"/>
    <n v="4.4634970989857491E-2"/>
  </r>
  <r>
    <x v="0"/>
    <x v="6"/>
    <n v="5.2015563130616345E-2"/>
  </r>
  <r>
    <x v="1"/>
    <x v="0"/>
    <n v="3.0524740220934873E-2"/>
  </r>
  <r>
    <x v="1"/>
    <x v="1"/>
    <n v="3.2327783469343417E-2"/>
  </r>
  <r>
    <x v="1"/>
    <x v="2"/>
    <n v="1.6570701117635468E-2"/>
  </r>
  <r>
    <x v="1"/>
    <x v="3"/>
    <n v="3.630373383931608E-2"/>
  </r>
  <r>
    <x v="1"/>
    <x v="4"/>
    <n v="3.9072135738335331E-2"/>
  </r>
  <r>
    <x v="1"/>
    <x v="5"/>
    <n v="3.7239776422506525E-2"/>
  </r>
  <r>
    <x v="1"/>
    <x v="6"/>
    <n v="3.5857124490320157E-2"/>
  </r>
  <r>
    <x v="2"/>
    <x v="0"/>
    <n v="2.7961425948746132E-2"/>
  </r>
  <r>
    <x v="2"/>
    <x v="1"/>
    <n v="2.3800156980165792E-2"/>
  </r>
  <r>
    <x v="2"/>
    <x v="2"/>
    <n v="1.2850529890042843E-2"/>
  </r>
  <r>
    <x v="2"/>
    <x v="3"/>
    <n v="1.9298209634749083E-2"/>
  </r>
  <r>
    <x v="2"/>
    <x v="4"/>
    <n v="2.8927202503894023E-2"/>
  </r>
  <r>
    <x v="2"/>
    <x v="5"/>
    <n v="2.26263652407706E-2"/>
  </r>
  <r>
    <x v="2"/>
    <x v="6"/>
    <n v="2.2786899624440887E-2"/>
  </r>
  <r>
    <x v="3"/>
    <x v="0"/>
    <n v="2.9024340282394714E-2"/>
  </r>
  <r>
    <x v="3"/>
    <x v="1"/>
    <n v="3.3062559636903945E-2"/>
  </r>
  <r>
    <x v="3"/>
    <x v="2"/>
    <n v="9.1995275689286757E-3"/>
  </r>
  <r>
    <x v="3"/>
    <x v="3"/>
    <n v="2.3643813770991857E-2"/>
  </r>
  <r>
    <x v="3"/>
    <x v="4"/>
    <n v="2.2934850182330817E-2"/>
  </r>
  <r>
    <x v="3"/>
    <x v="5"/>
    <n v="1.7637756728815141E-2"/>
  </r>
  <r>
    <x v="3"/>
    <x v="6"/>
    <n v="2.4772791202616915E-2"/>
  </r>
  <r>
    <x v="4"/>
    <x v="0"/>
    <n v="1.6608555109939464E-2"/>
  </r>
  <r>
    <x v="4"/>
    <x v="1"/>
    <n v="1.7819168526635329E-2"/>
  </r>
  <r>
    <x v="4"/>
    <x v="2"/>
    <n v="1.3977967721537367E-2"/>
  </r>
  <r>
    <x v="4"/>
    <x v="3"/>
    <n v="1.5594358599145396E-2"/>
  </r>
  <r>
    <x v="4"/>
    <x v="4"/>
    <n v="-6.1564123032468845E-2"/>
  </r>
  <r>
    <x v="4"/>
    <x v="5"/>
    <n v="8.5170442023947798E-4"/>
  </r>
  <r>
    <x v="4"/>
    <x v="6"/>
    <n v="1.8616862317124193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2.5311241183831466E-2"/>
    <n v="0.21383981746353115"/>
    <n v="5.3900370917610227E-2"/>
    <n v="0.35951998257562162"/>
    <n v="3.5623670296660692E-2"/>
    <n v="0.34744472900998785"/>
  </r>
  <r>
    <x v="0"/>
    <x v="1"/>
    <n v="3.1229029546552618E-2"/>
    <n v="0.26934336372647488"/>
    <n v="4.7710751820344198E-2"/>
    <n v="0.3717450448761534"/>
    <n v="2.1932961156486592E-2"/>
    <n v="0.36006522398978774"/>
  </r>
  <r>
    <x v="0"/>
    <x v="2"/>
    <n v="1.5289913238280335E-2"/>
    <n v="0.13426120918668058"/>
    <n v="3.8162475669112045E-2"/>
    <n v="0.37568994583943133"/>
    <n v="3.9717726983378734E-2"/>
    <n v="0.35684428498598791"/>
  </r>
  <r>
    <x v="0"/>
    <x v="3"/>
    <n v="3.311012595327642E-2"/>
    <n v="0.26854694889794661"/>
    <n v="4.1882621576309807E-2"/>
    <n v="0.35354851666997567"/>
    <n v="2.5781325049450486E-2"/>
    <n v="0.36236605075531858"/>
  </r>
  <r>
    <x v="0"/>
    <x v="4"/>
    <n v="3.8503291494164274E-2"/>
    <n v="0.33980938209235756"/>
    <n v="4.5590934840234305E-2"/>
    <n v="0.30117530589071662"/>
    <n v="2.763274334469655E-2"/>
    <n v="0.3314507939040065"/>
  </r>
  <r>
    <x v="0"/>
    <x v="5"/>
    <n v="4.4634970989857491E-2"/>
    <n v="0.32374107006101643"/>
    <n v="5.3077945196787317E-2"/>
    <n v="0.28141707655839338"/>
    <n v="2.2148183195887423E-2"/>
    <n v="0.34322798041698249"/>
  </r>
  <r>
    <x v="0"/>
    <x v="6"/>
    <n v="5.2015563130616345E-2"/>
    <n v="0.36457034471841843"/>
    <n v="5.2152769500529612E-2"/>
    <n v="0.2897842066446647"/>
    <n v="2.3015685356968612E-2"/>
    <n v="0.34274342240431438"/>
  </r>
  <r>
    <x v="1"/>
    <x v="0"/>
    <n v="3.0524740220934873E-2"/>
    <n v="0.21883180783203737"/>
    <n v="5.428359745018032E-2"/>
    <n v="0.3713873794776984"/>
    <n v="3.0999995950863536E-2"/>
    <n v="0.36535930183515469"/>
  </r>
  <r>
    <x v="1"/>
    <x v="1"/>
    <n v="3.2327783469343417E-2"/>
    <n v="0.23503343514662645"/>
    <n v="4.6993578638265622E-2"/>
    <n v="0.37721121354436332"/>
    <n v="2.7000016980000322E-2"/>
    <n v="0.37506339695847446"/>
  </r>
  <r>
    <x v="1"/>
    <x v="2"/>
    <n v="1.6570701117635468E-2"/>
    <n v="0.12579892537892423"/>
    <n v="4.0667593976059305E-2"/>
    <n v="0.35092097935273614"/>
    <n v="4.6999986513614832E-2"/>
    <n v="0.37342583007047192"/>
  </r>
  <r>
    <x v="1"/>
    <x v="3"/>
    <n v="3.630373383931608E-2"/>
    <n v="0.26259007653146654"/>
    <n v="4.2886508286211128E-2"/>
    <n v="0.32548136214972662"/>
    <n v="2.3999983957111698E-2"/>
    <n v="0.36509711753232893"/>
  </r>
  <r>
    <x v="1"/>
    <x v="4"/>
    <n v="3.9072135738335331E-2"/>
    <n v="0.26046171665293805"/>
    <n v="4.7474893410205464E-2"/>
    <n v="0.28821679530659083"/>
    <n v="2.1999995968030064E-2"/>
    <n v="0.34099255273998375"/>
  </r>
  <r>
    <x v="1"/>
    <x v="5"/>
    <n v="3.7239776422506525E-2"/>
    <n v="0.24830679188165411"/>
    <n v="4.9770128678223176E-2"/>
    <n v="0.31975899952722936"/>
    <n v="2.000000093999323E-2"/>
    <n v="0.35402158590430044"/>
  </r>
  <r>
    <x v="1"/>
    <x v="6"/>
    <n v="3.5857124490320157E-2"/>
    <n v="0.24400124753272176"/>
    <n v="4.5832461547134808E-2"/>
    <n v="0.32834840102209223"/>
    <n v="2.2000001712916151E-2"/>
    <n v="0.35317371803065306"/>
  </r>
  <r>
    <x v="2"/>
    <x v="0"/>
    <n v="2.7961425948746132E-2"/>
    <n v="0.16107985529938987"/>
    <n v="4.1777183605390893E-2"/>
    <n v="0.3726849516452157"/>
    <n v="4.4373348929730015E-2"/>
    <n v="0.34357605883506304"/>
  </r>
  <r>
    <x v="2"/>
    <x v="1"/>
    <n v="2.3800156980165792E-2"/>
    <n v="0.14001860562820254"/>
    <n v="3.7897766507624886E-2"/>
    <n v="0.4384054054054054"/>
    <n v="5.3545029182480719E-2"/>
    <n v="0.31894295345876017"/>
  </r>
  <r>
    <x v="2"/>
    <x v="2"/>
    <n v="1.2850529890042843E-2"/>
    <n v="8.1754786271703614E-2"/>
    <n v="2.8858912631146129E-2"/>
    <n v="0.46910665684254843"/>
    <n v="7.5323385252942382E-2"/>
    <n v="0.29215391349329511"/>
  </r>
  <r>
    <x v="2"/>
    <x v="3"/>
    <n v="1.9298209634749083E-2"/>
    <n v="0.11685988838322266"/>
    <n v="3.3972572042530992E-2"/>
    <n v="0.49914505038745588"/>
    <n v="4.7427451023850667E-2"/>
    <n v="0.31595597441177753"/>
  </r>
  <r>
    <x v="2"/>
    <x v="4"/>
    <n v="2.8927202503894023E-2"/>
    <n v="0.18378441428551928"/>
    <n v="4.915640060351268E-2"/>
    <n v="0.47664688074243483"/>
    <n v="3.9117665084221591E-2"/>
    <n v="0.41429289896045429"/>
  </r>
  <r>
    <x v="2"/>
    <x v="5"/>
    <n v="2.26263652407706E-2"/>
    <n v="0.1577738263923589"/>
    <n v="4.020391833260889E-2"/>
    <n v="0.47628706766397361"/>
    <n v="3.7015405410966602E-2"/>
    <n v="0.37185755145559468"/>
  </r>
  <r>
    <x v="2"/>
    <x v="6"/>
    <n v="2.2786899624440887E-2"/>
    <n v="0.15162362833193715"/>
    <n v="4.0906320306556949E-2"/>
    <n v="0.49179297887379253"/>
    <n v="3.320656071139625E-2"/>
    <n v="0.38547545298877517"/>
  </r>
  <r>
    <x v="3"/>
    <x v="0"/>
    <n v="2.9024340282394714E-2"/>
    <n v="0.16156225119725381"/>
    <n v="0.14543076154573192"/>
    <n v="0.67948706966704076"/>
    <n v="4.5295676888903718E-3"/>
    <n v="0.49539392589025488"/>
  </r>
  <r>
    <x v="3"/>
    <x v="1"/>
    <n v="3.3062559636903945E-2"/>
    <n v="0.20937394786738256"/>
    <n v="0.13488727400936282"/>
    <n v="0.63086820405911725"/>
    <n v="4.4341415899075108E-3"/>
    <n v="0.47342173819364192"/>
  </r>
  <r>
    <x v="3"/>
    <x v="2"/>
    <n v="9.1995275689286757E-3"/>
    <n v="6.8650695801167144E-2"/>
    <n v="0.10641391265447632"/>
    <n v="0.66233793479629088"/>
    <n v="1.1491233154886229E-2"/>
    <n v="0.45311274123553941"/>
  </r>
  <r>
    <x v="3"/>
    <x v="3"/>
    <n v="2.3643813770991857E-2"/>
    <n v="0.18925167998886452"/>
    <n v="0.12245189762376774"/>
    <n v="0.587751247807905"/>
    <n v="1.6477374697275123E-2"/>
    <n v="0.47910346728703501"/>
  </r>
  <r>
    <x v="3"/>
    <x v="4"/>
    <n v="2.2934850182330817E-2"/>
    <n v="0.1849828052854568"/>
    <n v="0.11160771468480243"/>
    <n v="0.58438311453400971"/>
    <n v="9.7720632905248864E-3"/>
    <n v="0.45466890920338793"/>
  </r>
  <r>
    <x v="3"/>
    <x v="5"/>
    <n v="1.7637756728815141E-2"/>
    <n v="0.14375715320726187"/>
    <n v="0.10901716517495295"/>
    <n v="0.61014925373134332"/>
    <n v="9.7530937963094186E-3"/>
    <n v="0.43481409672145049"/>
  </r>
  <r>
    <x v="3"/>
    <x v="6"/>
    <n v="2.4772791202616915E-2"/>
    <n v="0.20044585726723971"/>
    <n v="0.10921224293331802"/>
    <n v="0.56570133226329045"/>
    <n v="8.0391131961413832E-3"/>
    <n v="0.45905204398547106"/>
  </r>
  <r>
    <x v="4"/>
    <x v="0"/>
    <n v="1.6608555109939464E-2"/>
    <n v="0.11162033595033022"/>
    <n v="4.1698572813035892E-2"/>
    <n v="0.61266357619872447"/>
    <n v="3.2177288093151374E-2"/>
    <n v="0.34702598765251397"/>
  </r>
  <r>
    <x v="4"/>
    <x v="1"/>
    <n v="1.7819168526635329E-2"/>
    <n v="0.11047436590015909"/>
    <n v="3.8587737321920598E-2"/>
    <n v="0.65468674113647407"/>
    <n v="3.9430533975510537E-2"/>
    <n v="0.35536410570890109"/>
  </r>
  <r>
    <x v="4"/>
    <x v="2"/>
    <n v="1.3977967721537367E-2"/>
    <n v="9.0157710181807141E-2"/>
    <n v="3.669569717298559E-2"/>
    <n v="0.8240418118466899"/>
    <n v="2.8643281820611027E-2"/>
    <n v="0.37596620465002628"/>
  </r>
  <r>
    <x v="4"/>
    <x v="3"/>
    <n v="1.5594358599145396E-2"/>
    <n v="9.515332434841875E-2"/>
    <n v="4.0806805645070658E-2"/>
    <n v="0.58261710820686019"/>
    <n v="2.6309514246480203E-2"/>
    <n v="0.3626191825060609"/>
  </r>
  <r>
    <x v="4"/>
    <x v="4"/>
    <n v="-6.1564123032468845E-2"/>
    <n v="-0.23004593375463364"/>
    <n v="2.3925149366415276E-2"/>
    <n v="-0.61455105303673296"/>
    <n v="0.18244778541033663"/>
    <n v="9.8082134859481931E-2"/>
  </r>
  <r>
    <x v="4"/>
    <x v="5"/>
    <n v="8.5170442023947798E-4"/>
    <n v="1.2455510473527369E-3"/>
    <n v="2.4588706612313729E-2"/>
    <n v="0.88861966546818816"/>
    <n v="0.25560925997214973"/>
    <n v="0.224009973458761"/>
  </r>
  <r>
    <x v="4"/>
    <x v="6"/>
    <n v="1.8616862317124193E-2"/>
    <n v="2.5800593014819236E-2"/>
    <n v="1.6710902928890669E-2"/>
    <n v="0.46653294943547602"/>
    <n v="0.58546942794719514"/>
    <n v="0.215811715119947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2.5311241183831466E-2"/>
    <n v="0.21383981746353115"/>
    <n v="5.3900370917610227E-2"/>
    <n v="0.35951998257562162"/>
    <n v="3.5623670296660692E-2"/>
    <n v="0.34744472900998785"/>
    <n v="8.4484129367835816"/>
  </r>
  <r>
    <x v="0"/>
    <x v="1"/>
    <n v="3.1229029546552618E-2"/>
    <n v="0.26934336372647488"/>
    <n v="4.7710751820344198E-2"/>
    <n v="0.3717450448761534"/>
    <n v="2.1932961156486592E-2"/>
    <n v="0.36006522398978774"/>
    <n v="8.624775333635295"/>
  </r>
  <r>
    <x v="0"/>
    <x v="2"/>
    <n v="1.5289913238280335E-2"/>
    <n v="0.13426120918668058"/>
    <n v="3.8162475669112045E-2"/>
    <n v="0.37568994583943133"/>
    <n v="3.9717726983378734E-2"/>
    <n v="0.35684428498598791"/>
    <n v="8.7810314613519029"/>
  </r>
  <r>
    <x v="0"/>
    <x v="3"/>
    <n v="3.311012595327642E-2"/>
    <n v="0.26854694889794661"/>
    <n v="4.1882621576309807E-2"/>
    <n v="0.35354851666997567"/>
    <n v="2.5781325049450486E-2"/>
    <n v="0.36236605075531858"/>
    <n v="8.1107196413842857"/>
  </r>
  <r>
    <x v="0"/>
    <x v="4"/>
    <n v="3.8503291494164274E-2"/>
    <n v="0.33980938209235756"/>
    <n v="4.5590934840234305E-2"/>
    <n v="0.30117530589071662"/>
    <n v="2.763274334469655E-2"/>
    <n v="0.3314507939040065"/>
    <n v="8.8254631982271068"/>
  </r>
  <r>
    <x v="0"/>
    <x v="5"/>
    <n v="4.4634970989857491E-2"/>
    <n v="0.32374107006101643"/>
    <n v="5.3077945196787317E-2"/>
    <n v="0.28141707655839338"/>
    <n v="2.2148183195887423E-2"/>
    <n v="0.34322798041698249"/>
    <n v="7.2530812249117593"/>
  </r>
  <r>
    <x v="0"/>
    <x v="6"/>
    <n v="5.2015563130616345E-2"/>
    <n v="0.36457034471841843"/>
    <n v="5.2152769500529612E-2"/>
    <n v="0.2897842066446647"/>
    <n v="2.3015685356968612E-2"/>
    <n v="0.34274342240431438"/>
    <n v="7.0088704759947582"/>
  </r>
  <r>
    <x v="1"/>
    <x v="0"/>
    <n v="3.0524740220934873E-2"/>
    <n v="0.21883180783203737"/>
    <n v="5.428359745018032E-2"/>
    <n v="0.3713873794776984"/>
    <n v="3.0999995950863536E-2"/>
    <n v="0.36535930183515469"/>
    <n v="7.1689982043468898"/>
  </r>
  <r>
    <x v="1"/>
    <x v="1"/>
    <n v="3.2327783469343417E-2"/>
    <n v="0.23503343514662645"/>
    <n v="4.6993578638265622E-2"/>
    <n v="0.37721121354436332"/>
    <n v="2.7000016980000322E-2"/>
    <n v="0.37506339695847446"/>
    <n v="7.2703232304655119"/>
  </r>
  <r>
    <x v="1"/>
    <x v="2"/>
    <n v="1.6570701117635468E-2"/>
    <n v="0.12579892537892423"/>
    <n v="4.0667593976059305E-2"/>
    <n v="0.35092097935273614"/>
    <n v="4.6999986513614832E-2"/>
    <n v="0.37342583007047192"/>
    <n v="7.5916477212326248"/>
  </r>
  <r>
    <x v="1"/>
    <x v="3"/>
    <n v="3.630373383931608E-2"/>
    <n v="0.26259007653146654"/>
    <n v="4.2886508286211128E-2"/>
    <n v="0.32548136214972662"/>
    <n v="2.3999983957111698E-2"/>
    <n v="0.36509711753232893"/>
    <n v="7.2331424005507587"/>
  </r>
  <r>
    <x v="1"/>
    <x v="4"/>
    <n v="3.9072135738335331E-2"/>
    <n v="0.26046171665293805"/>
    <n v="4.7474893410205464E-2"/>
    <n v="0.28821679530659083"/>
    <n v="2.1999995968030064E-2"/>
    <n v="0.34099255273998375"/>
    <n v="6.6661755681143378"/>
  </r>
  <r>
    <x v="1"/>
    <x v="5"/>
    <n v="3.7239776422506525E-2"/>
    <n v="0.24830679188165411"/>
    <n v="4.9770128678223176E-2"/>
    <n v="0.31975899952722936"/>
    <n v="2.000000093999323E-2"/>
    <n v="0.35402158590430044"/>
    <n v="6.6677841742246722"/>
  </r>
  <r>
    <x v="1"/>
    <x v="6"/>
    <n v="3.5857124490320157E-2"/>
    <n v="0.24400124753272176"/>
    <n v="4.5832461547134808E-2"/>
    <n v="0.32834840102209223"/>
    <n v="2.2000001712916151E-2"/>
    <n v="0.35317371803065306"/>
    <n v="6.8048191538223133"/>
  </r>
  <r>
    <x v="2"/>
    <x v="0"/>
    <n v="2.7961425948746132E-2"/>
    <n v="0.16107985529938987"/>
    <n v="4.1777183605390893E-2"/>
    <n v="0.3726849516452157"/>
    <n v="4.4373348929730015E-2"/>
    <n v="0.34357605883506304"/>
    <n v="5.7607882943685542"/>
  </r>
  <r>
    <x v="2"/>
    <x v="1"/>
    <n v="2.3800156980165792E-2"/>
    <n v="0.14001860562820254"/>
    <n v="3.7897766507624886E-2"/>
    <n v="0.4384054054054054"/>
    <n v="5.3545029182480719E-2"/>
    <n v="0.31894295345876017"/>
    <n v="5.8830958865056679"/>
  </r>
  <r>
    <x v="2"/>
    <x v="2"/>
    <n v="1.2850529890042843E-2"/>
    <n v="8.1754786271703614E-2"/>
    <n v="2.8858912631146129E-2"/>
    <n v="0.46910665684254843"/>
    <n v="7.5323385252942382E-2"/>
    <n v="0.29215391349329511"/>
    <n v="6.3619778305835339"/>
  </r>
  <r>
    <x v="2"/>
    <x v="3"/>
    <n v="1.9298209634749083E-2"/>
    <n v="0.11685988838322266"/>
    <n v="3.3972572042530992E-2"/>
    <n v="0.49914505038745588"/>
    <n v="4.7427451023850667E-2"/>
    <n v="0.31595597441177753"/>
    <n v="6.0554782332139423"/>
  </r>
  <r>
    <x v="2"/>
    <x v="4"/>
    <n v="2.8927202503894023E-2"/>
    <n v="0.18378441428551928"/>
    <n v="4.915640060351268E-2"/>
    <n v="0.47664688074243483"/>
    <n v="3.9117665084221591E-2"/>
    <n v="0.41429289896045429"/>
    <n v="6.3533421270438861"/>
  </r>
  <r>
    <x v="2"/>
    <x v="5"/>
    <n v="2.26263652407706E-2"/>
    <n v="0.1577738263923589"/>
    <n v="4.020391833260889E-2"/>
    <n v="0.47628706766397361"/>
    <n v="3.7015405410966602E-2"/>
    <n v="0.37185755145559468"/>
    <n v="6.9730080246413229"/>
  </r>
  <r>
    <x v="2"/>
    <x v="6"/>
    <n v="2.2786899624440887E-2"/>
    <n v="0.15162362833193715"/>
    <n v="4.0906320306556949E-2"/>
    <n v="0.49179297887379253"/>
    <n v="3.320656071139625E-2"/>
    <n v="0.38547545298877517"/>
    <n v="6.6539823684178581"/>
  </r>
  <r>
    <x v="3"/>
    <x v="0"/>
    <n v="2.9024340282394714E-2"/>
    <n v="0.16156225119725381"/>
    <n v="0.14543076154573192"/>
    <n v="0.67948706966704076"/>
    <n v="4.5295676888903718E-3"/>
    <n v="0.49539392589025488"/>
    <n v="5.5664400852980833"/>
  </r>
  <r>
    <x v="3"/>
    <x v="1"/>
    <n v="3.3062559636903945E-2"/>
    <n v="0.20937394786738256"/>
    <n v="0.13488727400936282"/>
    <n v="0.63086820405911725"/>
    <n v="4.4341415899075108E-3"/>
    <n v="0.47342173819364192"/>
    <n v="6.3326599684581719"/>
  </r>
  <r>
    <x v="3"/>
    <x v="2"/>
    <n v="9.1995275689286757E-3"/>
    <n v="6.8650695801167144E-2"/>
    <n v="0.10641391265447632"/>
    <n v="0.66233793479629088"/>
    <n v="1.1491233154886229E-2"/>
    <n v="0.45311274123553941"/>
    <n v="7.4624153563096298"/>
  </r>
  <r>
    <x v="3"/>
    <x v="3"/>
    <n v="2.3643813770991857E-2"/>
    <n v="0.18925167998886452"/>
    <n v="0.12245189762376774"/>
    <n v="0.587751247807905"/>
    <n v="1.6477374697275123E-2"/>
    <n v="0.47910346728703501"/>
    <n v="8.0042789129498981"/>
  </r>
  <r>
    <x v="3"/>
    <x v="4"/>
    <n v="2.2934850182330817E-2"/>
    <n v="0.1849828052854568"/>
    <n v="0.11160771468480243"/>
    <n v="0.58438311453400971"/>
    <n v="9.7720632905248864E-3"/>
    <n v="0.45466890920338793"/>
    <n v="8.0655772248283082"/>
  </r>
  <r>
    <x v="3"/>
    <x v="5"/>
    <n v="1.7637756728815141E-2"/>
    <n v="0.14375715320726187"/>
    <n v="0.10901716517495295"/>
    <n v="0.61014925373134332"/>
    <n v="9.7530937963094186E-3"/>
    <n v="0.43481409672145049"/>
    <n v="8.1505349811522834"/>
  </r>
  <r>
    <x v="3"/>
    <x v="6"/>
    <n v="2.4772791202616915E-2"/>
    <n v="0.20044585726723971"/>
    <n v="0.10921224293331802"/>
    <n v="0.56570133226329045"/>
    <n v="8.0391131961413832E-3"/>
    <n v="0.45905204398547106"/>
    <n v="8.0913715224009675"/>
  </r>
  <r>
    <x v="4"/>
    <x v="0"/>
    <n v="1.6608555109939464E-2"/>
    <n v="0.11162033595033022"/>
    <n v="4.1698572813035892E-2"/>
    <n v="0.61266357619872447"/>
    <n v="3.2177288093151374E-2"/>
    <n v="0.34702598765251397"/>
    <n v="6.7206530135502591"/>
  </r>
  <r>
    <x v="4"/>
    <x v="1"/>
    <n v="1.7819168526635329E-2"/>
    <n v="0.11047436590015909"/>
    <n v="3.8587737321920598E-2"/>
    <n v="0.65468674113647407"/>
    <n v="3.9430533975510537E-2"/>
    <n v="0.35536410570890109"/>
    <n v="6.1997486434356768"/>
  </r>
  <r>
    <x v="4"/>
    <x v="2"/>
    <n v="1.3977967721537367E-2"/>
    <n v="9.0157710181807141E-2"/>
    <n v="3.669569717298559E-2"/>
    <n v="0.8240418118466899"/>
    <n v="2.8643281820611027E-2"/>
    <n v="0.37596620465002628"/>
    <n v="6.4499870065439771"/>
  </r>
  <r>
    <x v="4"/>
    <x v="3"/>
    <n v="1.5594358599145396E-2"/>
    <n v="9.515332434841875E-2"/>
    <n v="4.0806805645070658E-2"/>
    <n v="0.58261710820686019"/>
    <n v="2.6309514246480203E-2"/>
    <n v="0.3626191825060609"/>
    <n v="6.1017786492118606"/>
  </r>
  <r>
    <x v="4"/>
    <x v="4"/>
    <n v="-6.1564123032468845E-2"/>
    <n v="-0.23004593375463364"/>
    <n v="2.3925149366415276E-2"/>
    <n v="-0.61455105303673296"/>
    <n v="0.18244778541033663"/>
    <n v="9.8082134859481931E-2"/>
    <n v="3.7366882272213591"/>
  </r>
  <r>
    <x v="4"/>
    <x v="5"/>
    <n v="8.5170442023947798E-4"/>
    <n v="1.2455510473527369E-3"/>
    <n v="2.4588706612313729E-2"/>
    <n v="0.88861966546818816"/>
    <n v="0.25560925997214973"/>
    <n v="0.224009973458761"/>
    <n v="1.462421724901368"/>
  </r>
  <r>
    <x v="4"/>
    <x v="6"/>
    <n v="1.8616862317124193E-2"/>
    <n v="2.5800593014819236E-2"/>
    <n v="1.6710902928890669E-2"/>
    <n v="0.46653294943547602"/>
    <n v="0.58546942794719514"/>
    <n v="0.21581171511994704"/>
    <n v="1.385872257920030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343528"/>
  </r>
  <r>
    <x v="0"/>
    <x v="1"/>
    <n v="512887"/>
  </r>
  <r>
    <x v="0"/>
    <x v="2"/>
    <n v="306498"/>
  </r>
  <r>
    <x v="0"/>
    <x v="3"/>
    <n v="743811"/>
  </r>
  <r>
    <x v="0"/>
    <x v="4"/>
    <n v="992004"/>
  </r>
  <r>
    <x v="0"/>
    <x v="5"/>
    <n v="1333719"/>
  </r>
  <r>
    <x v="0"/>
    <x v="6"/>
    <n v="1837899"/>
  </r>
  <r>
    <x v="1"/>
    <x v="0"/>
    <n v="433300"/>
  </r>
  <r>
    <x v="1"/>
    <x v="1"/>
    <n v="545685"/>
  </r>
  <r>
    <x v="1"/>
    <x v="2"/>
    <n v="337260"/>
  </r>
  <r>
    <x v="1"/>
    <x v="3"/>
    <n v="842945"/>
  </r>
  <r>
    <x v="1"/>
    <x v="4"/>
    <n v="1023075"/>
  </r>
  <r>
    <x v="1"/>
    <x v="5"/>
    <n v="1119058"/>
  </r>
  <r>
    <x v="1"/>
    <x v="6"/>
    <n v="1244716"/>
  </r>
  <r>
    <x v="2"/>
    <x v="0"/>
    <n v="37292"/>
  </r>
  <r>
    <x v="2"/>
    <x v="1"/>
    <n v="37327"/>
  </r>
  <r>
    <x v="2"/>
    <x v="2"/>
    <n v="24221"/>
  </r>
  <r>
    <x v="2"/>
    <x v="3"/>
    <n v="38581"/>
  </r>
  <r>
    <x v="2"/>
    <x v="4"/>
    <n v="74054"/>
  </r>
  <r>
    <x v="2"/>
    <x v="5"/>
    <n v="76885"/>
  </r>
  <r>
    <x v="2"/>
    <x v="6"/>
    <n v="87423"/>
  </r>
  <r>
    <x v="3"/>
    <x v="0"/>
    <n v="20191"/>
  </r>
  <r>
    <x v="3"/>
    <x v="1"/>
    <n v="29539"/>
  </r>
  <r>
    <x v="3"/>
    <x v="2"/>
    <n v="10858"/>
  </r>
  <r>
    <x v="3"/>
    <x v="3"/>
    <n v="36710"/>
  </r>
  <r>
    <x v="3"/>
    <x v="4"/>
    <n v="45211"/>
  </r>
  <r>
    <x v="3"/>
    <x v="5"/>
    <n v="41073"/>
  </r>
  <r>
    <x v="3"/>
    <x v="6"/>
    <n v="68605"/>
  </r>
  <r>
    <x v="4"/>
    <x v="0"/>
    <n v="26949"/>
  </r>
  <r>
    <x v="4"/>
    <x v="1"/>
    <n v="29755"/>
  </r>
  <r>
    <x v="4"/>
    <x v="2"/>
    <n v="26714"/>
  </r>
  <r>
    <x v="4"/>
    <x v="3"/>
    <n v="33995"/>
  </r>
  <r>
    <x v="4"/>
    <x v="4"/>
    <n v="-83562"/>
  </r>
  <r>
    <x v="4"/>
    <x v="5"/>
    <n v="400"/>
  </r>
  <r>
    <x v="4"/>
    <x v="6"/>
    <n v="84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DB235-060A-4723-B71D-301CACB2A32E}" name="PivotTable1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9">
  <location ref="F17:L26" firstHeaderRow="1" firstDataRow="2" firstDataCol="1"/>
  <pivotFields count="3">
    <pivotField axis="axisCol"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axis="axisRow" showAll="0">
      <items count="8">
        <item x="0"/>
        <item x="1"/>
        <item x="2"/>
        <item x="3"/>
        <item x="4"/>
        <item x="5"/>
        <item x="6"/>
        <item t="default"/>
      </items>
    </pivotField>
    <pivotField dataField="1" showAll="0"/>
  </pivotFields>
  <rowFields count="1">
    <field x="1"/>
  </rowFields>
  <rowItems count="8">
    <i>
      <x/>
    </i>
    <i>
      <x v="1"/>
    </i>
    <i>
      <x v="2"/>
    </i>
    <i>
      <x v="3"/>
    </i>
    <i>
      <x v="4"/>
    </i>
    <i>
      <x v="5"/>
    </i>
    <i>
      <x v="6"/>
    </i>
    <i t="grand">
      <x/>
    </i>
  </rowItems>
  <colFields count="1">
    <field x="0"/>
  </colFields>
  <colItems count="6">
    <i>
      <x v="4"/>
    </i>
    <i>
      <x v="2"/>
    </i>
    <i>
      <x/>
    </i>
    <i>
      <x v="3"/>
    </i>
    <i>
      <x v="1"/>
    </i>
    <i t="grand">
      <x/>
    </i>
  </colItems>
  <dataFields count="1">
    <dataField name="Sum of Net_Profit" fld="2" baseField="0" baseItem="0" numFmtId="164"/>
  </dataFields>
  <formats count="1">
    <format dxfId="105">
      <pivotArea outline="0" collapsedLevelsAreSubtotals="1"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BECD71-EE1E-4C6A-9DB5-C1C42C15647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12" firstHeaderRow="1" firstDataRow="2" firstDataCol="1"/>
  <pivotFields count="3">
    <pivotField axis="axisCol" showAll="0">
      <items count="6">
        <item x="2"/>
        <item x="0"/>
        <item x="3"/>
        <item x="1"/>
        <item x="4"/>
        <item t="default"/>
      </items>
    </pivotField>
    <pivotField axis="axisRow" showAll="0">
      <items count="8">
        <item x="0"/>
        <item x="1"/>
        <item x="2"/>
        <item x="3"/>
        <item x="4"/>
        <item x="5"/>
        <item x="6"/>
        <item t="default"/>
      </items>
    </pivotField>
    <pivotField dataField="1"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ROA" fld="2" subtotal="average" baseField="1" baseItem="3" numFmtId="10"/>
  </dataFields>
  <formats count="1">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EFB0A1-9C3A-4C84-9FC7-730B23847E62}"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12" firstHeaderRow="1" firstDataRow="2" firstDataCol="1"/>
  <pivotFields count="8">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dataField="1" numFmtId="10" showAll="0"/>
    <pivotField numFmtId="10" showAll="0"/>
    <pivotField numFmtId="10" showAll="0"/>
    <pivotField numFmtId="10" showAll="0"/>
    <pivotField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ROE" fld="3" subtotal="average" baseField="1" baseItem="4" numFmtId="1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556A4D-B4D3-4BBD-93C6-7824192566EB}"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12" firstHeaderRow="1" firstDataRow="2" firstDataCol="1"/>
  <pivotFields count="8">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numFmtId="10" showAll="0"/>
    <pivotField dataField="1" numFmtId="10" showAll="0"/>
    <pivotField numFmtId="10" showAll="0"/>
    <pivotField numFmtId="10" showAll="0"/>
    <pivotField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NIM_approx" fld="4" subtotal="average" baseField="1" baseItem="3" numFmtId="1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DA6CEE-57D1-4E74-9242-F622FCFF2CC2}"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12" firstHeaderRow="1" firstDataRow="2" firstDataCol="1"/>
  <pivotFields count="8">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numFmtId="10" showAll="0"/>
    <pivotField numFmtId="10" showAll="0"/>
    <pivotField dataField="1" numFmtId="10" showAll="0"/>
    <pivotField numFmtId="10" showAll="0"/>
    <pivotField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CIR" fld="5" subtotal="average" baseField="1" baseItem="4" numFmtId="1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4B6FC6-39EE-45EF-9F05-2809A6516305}"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12" firstHeaderRow="1" firstDataRow="2" firstDataCol="1"/>
  <pivotFields count="8">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numFmtId="10" showAll="0"/>
    <pivotField numFmtId="10" showAll="0"/>
    <pivotField numFmtId="10" showAll="0"/>
    <pivotField dataField="1" numFmtId="10" showAll="0"/>
    <pivotField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NPL_Ratio" fld="6" subtotal="average" baseField="1" baseItem="1" numFmtId="1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47350F-7FD9-4220-BE96-B9A84A52D28D}"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G12" firstHeaderRow="1" firstDataRow="2" firstDataCol="1"/>
  <pivotFields count="8">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numFmtId="10" showAll="0"/>
    <pivotField numFmtId="10" showAll="0"/>
    <pivotField numFmtId="10" showAll="0"/>
    <pivotField numFmtId="10" showAll="0"/>
    <pivotField dataField="1" numFmtId="10"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Loan-to-Asset Ratio" fld="7" subtotal="average" baseField="1" baseItem="2" numFmtId="1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CBFD68-D5FD-443A-BA18-E833B997136B}"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G12" firstHeaderRow="1" firstDataRow="2" firstDataCol="1"/>
  <pivotFields count="9">
    <pivotField axis="axisCol" showAll="0">
      <items count="6">
        <item x="2"/>
        <item x="0"/>
        <item x="3"/>
        <item x="1"/>
        <item x="4"/>
        <item t="default"/>
      </items>
    </pivotField>
    <pivotField axis="axisRow" showAll="0">
      <items count="8">
        <item x="0"/>
        <item x="1"/>
        <item x="2"/>
        <item x="3"/>
        <item x="4"/>
        <item x="5"/>
        <item x="6"/>
        <item t="default"/>
      </items>
    </pivotField>
    <pivotField numFmtId="10" showAll="0"/>
    <pivotField numFmtId="10" showAll="0"/>
    <pivotField numFmtId="10" showAll="0"/>
    <pivotField numFmtId="10" showAll="0"/>
    <pivotField numFmtId="10" showAll="0"/>
    <pivotField numFmtId="10" showAll="0"/>
    <pivotField dataField="1" numFmtId="2" showAll="0"/>
  </pivotFields>
  <rowFields count="1">
    <field x="1"/>
  </rowFields>
  <rowItems count="8">
    <i>
      <x/>
    </i>
    <i>
      <x v="1"/>
    </i>
    <i>
      <x v="2"/>
    </i>
    <i>
      <x v="3"/>
    </i>
    <i>
      <x v="4"/>
    </i>
    <i>
      <x v="5"/>
    </i>
    <i>
      <x v="6"/>
    </i>
    <i t="grand">
      <x/>
    </i>
  </rowItems>
  <colFields count="1">
    <field x="0"/>
  </colFields>
  <colItems count="6">
    <i>
      <x/>
    </i>
    <i>
      <x v="1"/>
    </i>
    <i>
      <x v="2"/>
    </i>
    <i>
      <x v="3"/>
    </i>
    <i>
      <x v="4"/>
    </i>
    <i t="grand">
      <x/>
    </i>
  </colItems>
  <dataFields count="1">
    <dataField name="Average of Equity Multiplier" fld="8" subtotal="average" baseField="1"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0D8797-CC9C-4818-92F8-B7955BED1F1C}" name="Table4" displayName="Table4" ref="A2:H8" totalsRowShown="0" headerRowDxfId="86" dataDxfId="85" dataCellStyle="Percent">
  <autoFilter ref="A2:H8" xr:uid="{890D8797-CC9C-4818-92F8-B7955BED1F1C}"/>
  <tableColumns count="8">
    <tableColumn id="1" xr3:uid="{25542FC9-6759-43CB-B9A8-52ABA8A117CB}" name="Bank"/>
    <tableColumn id="2" xr3:uid="{B43E816F-D3BE-4318-A846-C37A5A0E9C62}" name="Pre-COVID_x000a_Avg ROA" dataDxfId="84" dataCellStyle="Percent"/>
    <tableColumn id="3" xr3:uid="{6B96EE47-8749-4775-A22C-85218B4B99EE}" name="COVID_x000a_2020 ROA" dataDxfId="83"/>
    <tableColumn id="4" xr3:uid="{5C6A03C2-9FD2-4A5C-896B-0EA0A9563A43}" name="Recovery 2021-22 Avg ROA" dataDxfId="82" dataCellStyle="Percent"/>
    <tableColumn id="5" xr3:uid="{88828F29-B4FE-4E71-9243-22060A4715A8}" name="Post-2022_x000a_Avg ROA" dataDxfId="81" dataCellStyle="Percent"/>
    <tableColumn id="6" xr3:uid="{E8AE44E6-A54B-4A48-9CE6-C77004B28442}" name="7-Yr Avg" dataDxfId="80" dataCellStyle="Percent">
      <calculatedColumnFormula>AVERAGE(Calculated_Ratios!C2:C8)</calculatedColumnFormula>
    </tableColumn>
    <tableColumn id="7" xr3:uid="{7C18F3FC-D691-4F7D-A320-ECD5078026E4}" name="Best Phase" dataDxfId="79" dataCellStyle="Percent"/>
    <tableColumn id="8" xr3:uid="{A980510D-F5A0-4893-9E6C-75D99EB955BA}" name="Worst Phase" dataDxfId="78"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6C6C9A-F5FE-49ED-A193-23AA29D89945}" name="Table5" displayName="Table5" ref="A11:H16" totalsRowShown="0" headerRowDxfId="77">
  <autoFilter ref="A11:H16" xr:uid="{E56C6C9A-F5FE-49ED-A193-23AA29D89945}"/>
  <tableColumns count="8">
    <tableColumn id="1" xr3:uid="{6357C275-D1C3-405F-9941-CCC9C6D846B1}" name="Bank"/>
    <tableColumn id="2" xr3:uid="{1D30ADF3-09B6-4BDF-831E-8380860344DC}" name="Pre-COVID_x000a_Avg ROE" dataDxfId="76" dataCellStyle="Percent"/>
    <tableColumn id="3" xr3:uid="{E9D42126-88B7-40E6-AA92-CC7898591136}" name="COVID_x000a_2020 ROE" dataDxfId="75"/>
    <tableColumn id="4" xr3:uid="{8C856FAB-0663-48AB-9BC0-42D28945EBA0}" name="Recovery 2021-22 Avg ROE" dataDxfId="74" dataCellStyle="Percent"/>
    <tableColumn id="5" xr3:uid="{350A32B1-0DE1-4947-A404-F27418010AA3}" name="Post-2022_x000a_Avg ROE" dataDxfId="73" dataCellStyle="Percent"/>
    <tableColumn id="6" xr3:uid="{2F73414E-800D-4BCC-BA1F-74F8C8F8C131}" name="7-Yr Avg" dataDxfId="72">
      <calculatedColumnFormula>AVERAGE(Calculated_Ratios!D2:D8)</calculatedColumnFormula>
    </tableColumn>
    <tableColumn id="7" xr3:uid="{E91D12F9-1055-4936-8DB0-41C9F1602896}" name="Best Phase"/>
    <tableColumn id="8" xr3:uid="{840C2F0C-3CDC-491E-B295-3E8EC01DA77A}" name="Worst Pha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39071D9-B299-4F26-8EA4-B83CF8C30FAB}" name="Table57" displayName="Table57" ref="A20:H26" totalsRowShown="0" headerRowDxfId="71">
  <autoFilter ref="A20:H26" xr:uid="{139071D9-B299-4F26-8EA4-B83CF8C30FAB}"/>
  <tableColumns count="8">
    <tableColumn id="1" xr3:uid="{A2D9C7EE-001A-43A8-A036-68CD9CFF88EE}" name="Bank"/>
    <tableColumn id="2" xr3:uid="{3B93E0C6-5A27-47CD-BE4E-BD95BD3B3105}" name="Pre-COVID_x000a_Avg NIM" dataDxfId="70" dataCellStyle="Percent"/>
    <tableColumn id="3" xr3:uid="{4D142B6B-4A5D-4CEF-896A-161DFD6CB5AD}" name="COVID_x000a_2020 NIM" dataDxfId="69"/>
    <tableColumn id="4" xr3:uid="{5013398C-133C-4B14-A473-BDF0CC81D756}" name="Recovery _x000a_2021-22 Avg NIM" dataDxfId="68" dataCellStyle="Percent"/>
    <tableColumn id="5" xr3:uid="{405A4551-20A5-4D8B-8A38-36867E237D9D}" name="Post-2022_x000a_Avg NIM" dataDxfId="67" dataCellStyle="Percent"/>
    <tableColumn id="6" xr3:uid="{35013235-EA23-420E-863B-EB685FF1138B}" name="7-Yr Avg" dataDxfId="66" dataCellStyle="Percent">
      <calculatedColumnFormula>AVERAGE(E2:E8)</calculatedColumnFormula>
    </tableColumn>
    <tableColumn id="7" xr3:uid="{95844735-E017-4A56-8892-04868635B017}" name="Best Phase"/>
    <tableColumn id="8" xr3:uid="{97DC26D5-7AC6-4C92-A461-BD8978A11B1F}" name="Worst Phas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99FA6CC-22EB-4098-B065-63788624AB39}" name="Table578" displayName="Table578" ref="A29:H35" totalsRowShown="0" headerRowDxfId="65">
  <autoFilter ref="A29:H35" xr:uid="{199FA6CC-22EB-4098-B065-63788624AB39}"/>
  <tableColumns count="8">
    <tableColumn id="1" xr3:uid="{39C460B9-ED22-47FA-9E35-143E6010D695}" name="Bank"/>
    <tableColumn id="2" xr3:uid="{CC922E77-D786-4DFA-97D8-95D0A5B1E4AB}" name="Pre-COVID_x000a_Avg CIR" dataDxfId="64" dataCellStyle="Percent"/>
    <tableColumn id="3" xr3:uid="{E73AA7D0-4A44-4C40-95BF-F60F6153195A}" name="COVID_x000a_2020 CIR" dataDxfId="63"/>
    <tableColumn id="4" xr3:uid="{21C89CEA-8283-43A1-8C7F-B87237323A07}" name="Recovery _x000a_2021-22 Avg CIR" dataDxfId="62" dataCellStyle="Percent"/>
    <tableColumn id="5" xr3:uid="{1CBFBBFD-ACAD-4C88-92CC-1A9A8787EDD9}" name="Post-_x000a_Avg CIR" dataDxfId="61" dataCellStyle="Percent"/>
    <tableColumn id="6" xr3:uid="{D8403793-4C1E-4883-B3D1-B6AEE86A1340}" name="7-Yr Avg" dataDxfId="60">
      <calculatedColumnFormula>AVERAGE(F2:F8)</calculatedColumnFormula>
    </tableColumn>
    <tableColumn id="7" xr3:uid="{A78CE0DC-7CAE-4ACB-94E0-C26D753C003B}" name="Best Phase"/>
    <tableColumn id="8" xr3:uid="{D9EAF554-932F-4037-B0EF-9F97FABF17F9}" name="Worst Phas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96C403-C989-4B14-9A1B-084D4FD3A8D0}" name="Table43" displayName="Table43" ref="A38:H44" totalsRowShown="0" headerRowDxfId="59" dataDxfId="58" dataCellStyle="Percent">
  <autoFilter ref="A38:H44" xr:uid="{0596C403-C989-4B14-9A1B-084D4FD3A8D0}"/>
  <tableColumns count="8">
    <tableColumn id="1" xr3:uid="{101F69CB-6A73-4A48-A4CA-11FC4C273C9D}" name="Bank"/>
    <tableColumn id="2" xr3:uid="{320983F2-2152-4FE7-85BA-772691B0D9F0}" name="Pre-COVID_x000a_Avg NPL" dataDxfId="57" dataCellStyle="Percent"/>
    <tableColumn id="3" xr3:uid="{D94FD2C4-4EE4-434E-B70C-0664E47976E5}" name="COVID_x000a_2020 NPL" dataDxfId="56"/>
    <tableColumn id="4" xr3:uid="{CA3C2BA4-0B42-4899-AB59-11F714C74D5A}" name="Recovery _x000a_2021-22 Avg NPL" dataDxfId="55" dataCellStyle="Percent"/>
    <tableColumn id="5" xr3:uid="{00257066-C7C2-4AD6-BFD4-B8366D996009}" name="Post-2022_x000a_Avg NPL" dataDxfId="54" dataCellStyle="Percent"/>
    <tableColumn id="6" xr3:uid="{1CE0A5A6-26E8-47B0-BFE4-0868C506044B}" name="7 Yr Avg" dataDxfId="53" dataCellStyle="Percent"/>
    <tableColumn id="7" xr3:uid="{7C27B9D8-FAD3-44D6-8B77-656B7A9CEBAA}" name="Best Phase" dataDxfId="52" dataCellStyle="Percent"/>
    <tableColumn id="8" xr3:uid="{BA9F7F0A-BB1A-4D8A-BFAB-24166DE4DDC8}" name="Worst Phase" dataDxfId="51" dataCellStyl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F784C8-F6BE-4704-8C70-8D2ECFADD4F9}" name="Table434" displayName="Table434" ref="A47:H53" totalsRowShown="0" headerRowDxfId="50" dataDxfId="49" dataCellStyle="Percent">
  <autoFilter ref="A47:H53" xr:uid="{D1F784C8-F6BE-4704-8C70-8D2ECFADD4F9}"/>
  <tableColumns count="8">
    <tableColumn id="1" xr3:uid="{97AE5E64-F0C2-4A27-BDCA-F9BD55D7B086}" name="Bank"/>
    <tableColumn id="2" xr3:uid="{67604B40-8198-46A0-B317-0C2CD0B5E28B}" name="Pre-COVID_x000a_Avg Loan-to-Asset" dataDxfId="48" dataCellStyle="Percent"/>
    <tableColumn id="3" xr3:uid="{10247DE8-0785-4C13-B947-603640B05B0C}" name="COVID_x000a_2020 Loan-to-Asset" dataDxfId="47"/>
    <tableColumn id="4" xr3:uid="{E1748C5B-2A59-4FAC-AC83-433A55BDCB1E}" name="Recovery _x000a_2021-22 Avg Loan-to-Asset" dataDxfId="46" dataCellStyle="Percent"/>
    <tableColumn id="5" xr3:uid="{7F68CC53-1BF3-4B75-8CE1-6DC57C5FD8D2}" name="Post-2022_x000a_Avg Loan-to-Asset" dataDxfId="45" dataCellStyle="Percent"/>
    <tableColumn id="6" xr3:uid="{D2ECD942-981F-44D7-BBC0-6F4CA330FB01}" name="7-Yr Avg" dataDxfId="44" dataCellStyle="Percent"/>
    <tableColumn id="7" xr3:uid="{AB24A77F-1CF5-46DE-B36D-E7AFA6E86835}" name="Best Phase" dataDxfId="43" dataCellStyle="Percent"/>
    <tableColumn id="8" xr3:uid="{FB7AA9F0-1978-49D8-9DDE-5648C02AD5D6}" name="Worst Phase" dataDxfId="42"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1510FC5-8DE4-4D9B-B326-692673F3E005}" name="Table4349" displayName="Table4349" ref="A56:H62" totalsRowShown="0" headerRowDxfId="41" dataDxfId="40" dataCellStyle="Percent">
  <autoFilter ref="A56:H62" xr:uid="{D1510FC5-8DE4-4D9B-B326-692673F3E005}"/>
  <tableColumns count="8">
    <tableColumn id="1" xr3:uid="{882DE998-67AB-4C34-8A12-F8A9A1C46E36}" name="Bank"/>
    <tableColumn id="2" xr3:uid="{50D43606-D930-4C3F-8FFD-C1632A7313A2}" name="Pre-COVID_x000a_Avg Loan-to-Asset" dataDxfId="39" dataCellStyle="Comma"/>
    <tableColumn id="3" xr3:uid="{9F5C141B-DBF3-4ADB-88B0-DC7A127EB7F9}" name="COVID_x000a_2020 Loan-to-Asset" dataCellStyle="Comma"/>
    <tableColumn id="4" xr3:uid="{58A65406-37D4-409D-89E6-74EC1302E944}" name="Recovery _x000a_2021-22 Avg Loan-to-Asset" dataDxfId="38" dataCellStyle="Comma"/>
    <tableColumn id="5" xr3:uid="{792835E6-5181-4972-870B-BD7BD536C5D9}" name="Post-2022_x000a_Avg Loan-to-Asset" dataDxfId="37" dataCellStyle="Comma"/>
    <tableColumn id="6" xr3:uid="{457C7E06-4EAD-4202-A11D-34458406B849}" name="7-Yr Avg" dataDxfId="36" dataCellStyle="Percent">
      <calculatedColumnFormula>AVERAGE(Calculated_Ratios!I2:I8)</calculatedColumnFormula>
    </tableColumn>
    <tableColumn id="7" xr3:uid="{02BEECBE-9E87-416F-B719-72059DCDC7FB}" name="Best Phase" dataDxfId="35" dataCellStyle="Percent"/>
    <tableColumn id="8" xr3:uid="{86E3C35F-DE1A-41AE-A761-D275704D9BD8}" name="Worst Phase" dataDxfId="34" data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91B01EF-7618-43B3-8740-133FE1651F0F}" name="Table12" displayName="Table12" ref="A2:I7" totalsRowShown="0" headerRowDxfId="33">
  <autoFilter ref="A2:I7" xr:uid="{691B01EF-7618-43B3-8740-133FE1651F0F}"/>
  <tableColumns count="9">
    <tableColumn id="1" xr3:uid="{A31D463B-EEDE-4ABE-9774-6B5D84E2944E}" name="Bank"/>
    <tableColumn id="2" xr3:uid="{37A993BA-B650-481C-AEF0-FD291EE144AE}" name="Pre-COVID_x000a_Avg ROA (2018-19)" dataDxfId="32">
      <calculatedColumnFormula>'Economic Phase Analysis'!B3</calculatedColumnFormula>
    </tableColumn>
    <tableColumn id="3" xr3:uid="{2252A179-EB57-4DE7-B022-2914AA80B866}" name="2020 ROA_x000a_ (COVID Shock)" dataDxfId="31">
      <calculatedColumnFormula>'Economic Phase Analysis'!C3</calculatedColumnFormula>
    </tableColumn>
    <tableColumn id="4" xr3:uid="{223C94B3-62DD-41FF-823E-0435EAE11418}" name="ROA _x000a_Drop (%)" dataDxfId="30">
      <calculatedColumnFormula>C3-B3</calculatedColumnFormula>
    </tableColumn>
    <tableColumn id="5" xr3:uid="{4D99D37C-F412-4EB8-9895-56784F375D34}" name="2021-22 Recovery_x000a_ Avg ROA" dataDxfId="29">
      <calculatedColumnFormula>'Economic Phase Analysis'!D3</calculatedColumnFormula>
    </tableColumn>
    <tableColumn id="6" xr3:uid="{5F904E00-D185-4290-A2F6-9C610E59A334}" name="% of Pre-COVID_x000a_ROA Recovered" dataDxfId="28" dataCellStyle="Percent">
      <calculatedColumnFormula>E3/B3</calculatedColumnFormula>
    </tableColumn>
    <tableColumn id="7" xr3:uid="{B7E766D9-2852-44FA-8E21-6CE6AC3FBCEE}" name="Post-2022_x000a_Avg ROA _x000a_(2023-24)" dataDxfId="27">
      <calculatedColumnFormula>'Economic Phase Analysis'!E3</calculatedColumnFormula>
    </tableColumn>
    <tableColumn id="8" xr3:uid="{61D2DBB0-7AC1-40D3-B5AC-685931983371}" name="Fully _x000a_Recovered?"/>
    <tableColumn id="9" xr3:uid="{AA8540AC-193F-49D3-86F1-9E266D477CD6}" name="Resilience_x000a_Rankin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B422EA3-FF65-4346-B513-EB1D43BC060F}" name="Table1214" displayName="Table1214" ref="A11:I16" totalsRowShown="0" headerRowDxfId="26">
  <autoFilter ref="A11:I16" xr:uid="{7B422EA3-FF65-4346-B513-EB1D43BC060F}"/>
  <tableColumns count="9">
    <tableColumn id="1" xr3:uid="{29E04C41-B114-42B0-A66C-0A14A64E27B5}" name="Bank"/>
    <tableColumn id="2" xr3:uid="{4605C217-800C-437C-A3B2-2D31B3BAF0CB}" name="Pre-COVID_x000a_Avg ROE (2018-19)" dataDxfId="25">
      <calculatedColumnFormula>'Economic Phase Analysis'!B12</calculatedColumnFormula>
    </tableColumn>
    <tableColumn id="3" xr3:uid="{A764DA7C-05CE-419E-9C6C-3298CE11B4EF}" name="2020 ROE_x000a_ (COVID Shock)" dataDxfId="24">
      <calculatedColumnFormula>'Economic Phase Analysis'!C12</calculatedColumnFormula>
    </tableColumn>
    <tableColumn id="4" xr3:uid="{96A4924F-2D76-45E8-8F94-6D4490990F36}" name="ROE_x000a_Drop (%)" dataDxfId="23">
      <calculatedColumnFormula>C12-B12</calculatedColumnFormula>
    </tableColumn>
    <tableColumn id="5" xr3:uid="{0CBA6482-0A18-4B43-A317-990C7342EFF9}" name="2021-22 Recovery_x000a_ Avg ROE" dataDxfId="22">
      <calculatedColumnFormula>'Economic Phase Analysis'!D12</calculatedColumnFormula>
    </tableColumn>
    <tableColumn id="6" xr3:uid="{A73FD301-10EB-4B4F-8373-C942C3A2DA2A}" name="% of Pre-COVID_x000a_ROE Recovered" dataDxfId="21" dataCellStyle="Percent">
      <calculatedColumnFormula>E12/B12</calculatedColumnFormula>
    </tableColumn>
    <tableColumn id="7" xr3:uid="{AB536E2B-0455-4743-9FB9-39F63A3414C9}" name="Post-2022_x000a_Avg ROE _x000a_(2023-24)" dataDxfId="20">
      <calculatedColumnFormula>'Economic Phase Analysis'!E12</calculatedColumnFormula>
    </tableColumn>
    <tableColumn id="8" xr3:uid="{BA692B35-BB7E-4DD8-BEAB-9FFE64757F56}" name="Fully _x000a_Recovered?"/>
    <tableColumn id="9" xr3:uid="{0E7F1AB4-947A-4F88-85ED-3539C0A27135}" name="Resilience_x000a_Ranking"/>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CE1D5E3-510B-4DA2-892C-272423D3939C}" name="Table9" displayName="Table9" ref="A1:C6" totalsRowShown="0">
  <autoFilter ref="A1:C6" xr:uid="{3CE1D5E3-510B-4DA2-892C-272423D3939C}"/>
  <tableColumns count="3">
    <tableColumn id="1" xr3:uid="{CBCCBDE9-8217-4C93-8F26-E09AAB873EEB}" name="Independent Variable"/>
    <tableColumn id="2" xr3:uid="{DB27C2AA-B8BF-478D-8956-AA3BB522B6CE}" name="Corr. with ROA" dataDxfId="19"/>
    <tableColumn id="3" xr3:uid="{69EF9699-93FA-4739-A0E0-A20309AA8B5E}" name="Corr. with ROE" dataDxfId="1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647EF1F-8DDD-4752-A6D5-B5331BD335B0}" name="Table15" displayName="Table15" ref="A9:C14" totalsRowShown="0">
  <autoFilter ref="A9:C14" xr:uid="{4647EF1F-8DDD-4752-A6D5-B5331BD335B0}"/>
  <tableColumns count="3">
    <tableColumn id="1" xr3:uid="{EFD2F29C-8383-41B7-AE52-F3C6529091C1}" name="Independent Variable"/>
    <tableColumn id="2" xr3:uid="{512A457B-A46A-4E98-AB9F-580C228FBB8C}" name="Corr. with ROA" dataDxfId="17"/>
    <tableColumn id="3" xr3:uid="{2603753C-1DA5-478D-9271-E7D9D2ECB5A1}" name="Corr. With ROE" dataDxfId="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F5170-5275-4ADC-BFD0-AA58415415C9}" name="Table1" displayName="Table1" ref="E1:H6" totalsRowShown="0" headerRowDxfId="15">
  <autoFilter ref="E1:H6" xr:uid="{D86F5170-5275-4ADC-BFD0-AA58415415C9}"/>
  <tableColumns count="4">
    <tableColumn id="1" xr3:uid="{BF4418B0-E411-4DBE-B29A-88AE8B994B24}" name="Avg CIR" dataDxfId="14"/>
    <tableColumn id="2" xr3:uid="{D0537DC6-9170-4275-8074-339CBD3D605F}" name="Avg NPL" dataDxfId="13"/>
    <tableColumn id="3" xr3:uid="{1F87F55F-2CCC-47F0-AD54-8B7B801B61E2}" name="Avg Loan-to-Asset" dataDxfId="12"/>
    <tableColumn id="4" xr3:uid="{3A7638FC-207D-4424-B1A8-89FC15FDD36D}" name="Avg Equity Multiplier" dataDxfId="11" dataCellStyle="Comm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3E5FFF6-7169-442A-8BDA-3A36E7058909}" name="Table10" displayName="Table10" ref="A9:C15" totalsRowShown="0" headerRowDxfId="10">
  <autoFilter ref="A9:C15" xr:uid="{33E5FFF6-7169-442A-8BDA-3A36E7058909}"/>
  <tableColumns count="3">
    <tableColumn id="1" xr3:uid="{A13C32C3-A675-4FC4-9F7A-DA67C31BE1F0}" name="Category"/>
    <tableColumn id="2" xr3:uid="{C4866778-9570-4ED2-836A-0355F1C5AACD}" name="Best Bank"/>
    <tableColumn id="3" xr3:uid="{D9B8B467-958F-467F-A093-6B5607427DC6}" name="Weakest Bank"/>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6B1330D-A4EA-4687-993B-8411605095CE}" name="Table11" displayName="Table11" ref="A1:D6" totalsRowShown="0" headerRowDxfId="9">
  <autoFilter ref="A1:D6" xr:uid="{06B1330D-A4EA-4687-993B-8411605095CE}"/>
  <tableColumns count="4">
    <tableColumn id="1" xr3:uid="{DEE1EB2E-70C8-4733-AC50-3D243CAC9C10}" name="Bank"/>
    <tableColumn id="2" xr3:uid="{57D16CAC-B05A-4844-952A-B0BAE445AFAC}" name="Avg ROA" dataDxfId="8"/>
    <tableColumn id="3" xr3:uid="{DCF35CE2-8C43-4E72-A392-C0F9FB7A95EF}" name="Avg ROE" dataDxfId="7"/>
    <tableColumn id="4" xr3:uid="{FDCE6331-DE29-49AC-86FD-4E6D350B6FA5}" name="Avg NIM"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Custom 2">
    <a:dk1>
      <a:sysClr val="windowText" lastClr="000000"/>
    </a:dk1>
    <a:lt1>
      <a:sysClr val="window" lastClr="FFFFFF"/>
    </a:lt1>
    <a:dk2>
      <a:srgbClr val="44546A"/>
    </a:dk2>
    <a:lt2>
      <a:srgbClr val="E7E6E6"/>
    </a:lt2>
    <a:accent1>
      <a:srgbClr val="595959"/>
    </a:accent1>
    <a:accent2>
      <a:srgbClr val="EC7A2C"/>
    </a:accent2>
    <a:accent3>
      <a:srgbClr val="F4B183"/>
    </a:accent3>
    <a:accent4>
      <a:srgbClr val="00B0F0"/>
    </a:accent4>
    <a:accent5>
      <a:srgbClr val="8EAADB"/>
    </a:accent5>
    <a:accent6>
      <a:srgbClr val="C000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1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3.xml"/><Relationship Id="rId1" Type="http://schemas.openxmlformats.org/officeDocument/2006/relationships/printerSettings" Target="../printerSettings/printerSettings4.bin"/><Relationship Id="rId5" Type="http://schemas.openxmlformats.org/officeDocument/2006/relationships/table" Target="../tables/table14.xml"/><Relationship Id="rId4"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zoomScale="61" zoomScaleNormal="70" workbookViewId="0">
      <selection sqref="A1:N36"/>
    </sheetView>
  </sheetViews>
  <sheetFormatPr defaultRowHeight="15" x14ac:dyDescent="0.25"/>
  <cols>
    <col min="1" max="1" width="7.5703125" customWidth="1"/>
    <col min="3" max="3" width="14.7109375" bestFit="1" customWidth="1"/>
    <col min="4" max="4" width="29.140625" bestFit="1" customWidth="1"/>
    <col min="5" max="5" width="26.42578125" bestFit="1" customWidth="1"/>
    <col min="6" max="6" width="28" bestFit="1" customWidth="1"/>
    <col min="7" max="7" width="25" bestFit="1" customWidth="1"/>
    <col min="8" max="8" width="27.5703125" bestFit="1" customWidth="1"/>
    <col min="9" max="9" width="26.85546875" bestFit="1" customWidth="1"/>
    <col min="10" max="10" width="24" bestFit="1" customWidth="1"/>
    <col min="11" max="11" width="13.7109375" bestFit="1" customWidth="1"/>
    <col min="12" max="12" width="18.42578125" bestFit="1" customWidth="1"/>
    <col min="13" max="13" width="20.140625" bestFit="1" customWidth="1"/>
    <col min="14" max="14" width="36.140625" bestFit="1" customWidth="1"/>
  </cols>
  <sheetData>
    <row r="1" spans="1:14" s="1" customFormat="1" x14ac:dyDescent="0.25">
      <c r="A1" s="1" t="s">
        <v>0</v>
      </c>
      <c r="B1" s="1" t="s">
        <v>1</v>
      </c>
      <c r="C1" s="1" t="s">
        <v>2</v>
      </c>
      <c r="D1" s="1" t="s">
        <v>3</v>
      </c>
      <c r="E1" s="1" t="s">
        <v>4</v>
      </c>
      <c r="F1" s="1" t="s">
        <v>5</v>
      </c>
      <c r="G1" s="1" t="s">
        <v>6</v>
      </c>
      <c r="H1" s="1" t="s">
        <v>7</v>
      </c>
      <c r="I1" s="1" t="s">
        <v>8</v>
      </c>
      <c r="J1" s="1" t="s">
        <v>9</v>
      </c>
      <c r="K1" s="1" t="s">
        <v>13</v>
      </c>
      <c r="L1" s="1" t="s">
        <v>10</v>
      </c>
      <c r="M1" s="1" t="s">
        <v>11</v>
      </c>
      <c r="N1" s="8" t="s">
        <v>52</v>
      </c>
    </row>
    <row r="2" spans="1:14" x14ac:dyDescent="0.25">
      <c r="A2" t="s">
        <v>12</v>
      </c>
      <c r="B2">
        <v>2018</v>
      </c>
      <c r="C2" s="2">
        <v>343528</v>
      </c>
      <c r="D2" s="2">
        <v>14523587</v>
      </c>
      <c r="E2" s="2">
        <v>12620716</v>
      </c>
      <c r="F2" s="2">
        <v>1731028</v>
      </c>
      <c r="G2" s="2">
        <v>1481919</v>
      </c>
      <c r="H2" s="2">
        <v>731544</v>
      </c>
      <c r="I2" s="2">
        <v>356541</v>
      </c>
      <c r="J2" s="2">
        <v>991714</v>
      </c>
      <c r="K2" s="3">
        <f>187641+39045+82223+26694+369</f>
        <v>335972</v>
      </c>
      <c r="L2" s="2">
        <v>9431145</v>
      </c>
      <c r="M2" t="s">
        <v>14</v>
      </c>
      <c r="N2" s="4"/>
    </row>
    <row r="3" spans="1:14" x14ac:dyDescent="0.25">
      <c r="A3" t="s">
        <v>12</v>
      </c>
      <c r="B3">
        <v>2019</v>
      </c>
      <c r="C3" s="2">
        <v>512887</v>
      </c>
      <c r="D3" s="2">
        <v>18323223</v>
      </c>
      <c r="E3" s="2">
        <v>14523587</v>
      </c>
      <c r="F3" s="2">
        <v>2077397</v>
      </c>
      <c r="G3" s="2">
        <v>1731028</v>
      </c>
      <c r="H3" s="2">
        <v>783573</v>
      </c>
      <c r="I3" s="2">
        <v>398575</v>
      </c>
      <c r="J3" s="2">
        <v>1072173</v>
      </c>
      <c r="K3" s="3">
        <f>134963+26072+73861+24404+101</f>
        <v>259401</v>
      </c>
      <c r="L3" s="2">
        <v>11826994</v>
      </c>
      <c r="M3" t="s">
        <v>15</v>
      </c>
      <c r="N3" s="4"/>
    </row>
    <row r="4" spans="1:14" x14ac:dyDescent="0.25">
      <c r="A4" t="s">
        <v>12</v>
      </c>
      <c r="B4">
        <v>2020</v>
      </c>
      <c r="C4" s="2">
        <v>306498</v>
      </c>
      <c r="D4" s="2">
        <v>21768306</v>
      </c>
      <c r="E4" s="2">
        <v>18323223</v>
      </c>
      <c r="F4" s="2">
        <v>2488300</v>
      </c>
      <c r="G4" s="2">
        <v>2077397</v>
      </c>
      <c r="H4" s="2">
        <v>764996</v>
      </c>
      <c r="I4" s="2">
        <v>391987</v>
      </c>
      <c r="J4" s="2">
        <v>1043379</v>
      </c>
      <c r="K4" s="3">
        <f>237966+116434+145029+68384+406</f>
        <v>568219</v>
      </c>
      <c r="L4" s="2">
        <v>14306433</v>
      </c>
      <c r="M4" t="s">
        <v>51</v>
      </c>
    </row>
    <row r="5" spans="1:14" x14ac:dyDescent="0.25">
      <c r="A5" t="s">
        <v>12</v>
      </c>
      <c r="B5">
        <v>2021</v>
      </c>
      <c r="C5" s="2">
        <v>743811</v>
      </c>
      <c r="D5" s="2">
        <v>23161212</v>
      </c>
      <c r="E5" s="2">
        <v>21768306</v>
      </c>
      <c r="F5" s="2">
        <v>3051223</v>
      </c>
      <c r="G5" s="2">
        <v>2488300</v>
      </c>
      <c r="H5" s="2">
        <v>940883</v>
      </c>
      <c r="I5" s="2">
        <v>461215</v>
      </c>
      <c r="J5" s="2">
        <v>1304531</v>
      </c>
      <c r="K5" s="3">
        <f>223017+34907+117919+42898+1003</f>
        <v>419744</v>
      </c>
      <c r="L5" s="2">
        <v>16280932</v>
      </c>
      <c r="M5" t="s">
        <v>16</v>
      </c>
      <c r="N5" s="4"/>
    </row>
    <row r="6" spans="1:14" x14ac:dyDescent="0.25">
      <c r="A6" t="s">
        <v>12</v>
      </c>
      <c r="B6">
        <v>2022</v>
      </c>
      <c r="C6" s="2">
        <v>992004</v>
      </c>
      <c r="D6" s="2">
        <v>28367058</v>
      </c>
      <c r="E6" s="2">
        <v>23161212</v>
      </c>
      <c r="F6" s="2">
        <v>3787368</v>
      </c>
      <c r="G6" s="2">
        <v>2051223</v>
      </c>
      <c r="H6" s="2">
        <v>1174611</v>
      </c>
      <c r="I6" s="2">
        <v>581668</v>
      </c>
      <c r="J6" s="2">
        <v>1931327</v>
      </c>
      <c r="K6" s="3">
        <f>184114+66723+137623+82164+1318</f>
        <v>471942</v>
      </c>
      <c r="L6" s="2">
        <v>17079086</v>
      </c>
      <c r="M6" t="s">
        <v>17</v>
      </c>
    </row>
    <row r="7" spans="1:14" x14ac:dyDescent="0.25">
      <c r="A7" t="s">
        <v>12</v>
      </c>
      <c r="B7">
        <v>2023</v>
      </c>
      <c r="C7" s="2">
        <v>1333719</v>
      </c>
      <c r="D7" s="2">
        <v>31394110</v>
      </c>
      <c r="E7" s="2">
        <v>28367058</v>
      </c>
      <c r="F7" s="2">
        <v>4452050</v>
      </c>
      <c r="G7" s="2">
        <v>3787368</v>
      </c>
      <c r="H7" s="2">
        <v>1586000</v>
      </c>
      <c r="I7" s="2">
        <v>678955</v>
      </c>
      <c r="J7" s="2">
        <v>2412629</v>
      </c>
      <c r="K7" s="3">
        <f>120202+53985+169870+107674+2566</f>
        <v>454297</v>
      </c>
      <c r="L7" s="2">
        <v>20511705</v>
      </c>
      <c r="M7" t="s">
        <v>18</v>
      </c>
    </row>
    <row r="8" spans="1:14" x14ac:dyDescent="0.25">
      <c r="A8" t="s">
        <v>12</v>
      </c>
      <c r="B8">
        <v>2024</v>
      </c>
      <c r="C8" s="2">
        <v>1837899</v>
      </c>
      <c r="D8" s="2">
        <v>39273163</v>
      </c>
      <c r="E8" s="2">
        <v>31394110</v>
      </c>
      <c r="F8" s="2">
        <v>5630498</v>
      </c>
      <c r="G8" s="2">
        <v>4452050</v>
      </c>
      <c r="H8" s="2">
        <v>1842747</v>
      </c>
      <c r="I8" s="2">
        <v>790163</v>
      </c>
      <c r="J8" s="2">
        <v>2726729</v>
      </c>
      <c r="K8" s="3">
        <f>185664+66963+184979+117124+2727</f>
        <v>557457</v>
      </c>
      <c r="L8" s="2">
        <v>24220743</v>
      </c>
      <c r="M8" t="s">
        <v>19</v>
      </c>
    </row>
    <row r="9" spans="1:14" x14ac:dyDescent="0.25">
      <c r="A9" t="s">
        <v>20</v>
      </c>
      <c r="B9">
        <v>2018</v>
      </c>
      <c r="C9" s="2">
        <v>433300</v>
      </c>
      <c r="D9" s="2">
        <v>15452888</v>
      </c>
      <c r="E9" s="2">
        <v>12937198</v>
      </c>
      <c r="F9" s="2">
        <v>2111757</v>
      </c>
      <c r="G9" s="2">
        <v>1848362</v>
      </c>
      <c r="H9" s="2">
        <v>770558</v>
      </c>
      <c r="I9" s="2">
        <v>395932</v>
      </c>
      <c r="J9" s="2">
        <v>1066089</v>
      </c>
      <c r="K9" s="2">
        <v>321550</v>
      </c>
      <c r="L9" s="2">
        <v>10372582</v>
      </c>
      <c r="M9" t="s">
        <v>21</v>
      </c>
    </row>
    <row r="10" spans="1:14" x14ac:dyDescent="0.25">
      <c r="A10" t="s">
        <v>20</v>
      </c>
      <c r="B10">
        <v>2019</v>
      </c>
      <c r="C10" s="3">
        <v>545685</v>
      </c>
      <c r="D10" s="3">
        <v>18306618</v>
      </c>
      <c r="E10" s="3">
        <v>15452888</v>
      </c>
      <c r="F10" s="3">
        <v>2531710</v>
      </c>
      <c r="G10" s="3">
        <v>2111757</v>
      </c>
      <c r="H10" s="3">
        <v>793240</v>
      </c>
      <c r="I10" s="3">
        <v>412359</v>
      </c>
      <c r="J10" s="3">
        <v>1093178</v>
      </c>
      <c r="K10" s="3">
        <v>341873</v>
      </c>
      <c r="L10" s="3">
        <v>12661955</v>
      </c>
      <c r="M10" t="s">
        <v>22</v>
      </c>
      <c r="N10" s="5"/>
    </row>
    <row r="11" spans="1:14" x14ac:dyDescent="0.25">
      <c r="A11" t="s">
        <v>20</v>
      </c>
      <c r="B11">
        <v>2020</v>
      </c>
      <c r="C11" s="3">
        <v>337260</v>
      </c>
      <c r="D11" s="3">
        <v>22398962</v>
      </c>
      <c r="E11" s="3">
        <v>18306618</v>
      </c>
      <c r="F11" s="3">
        <v>2830180</v>
      </c>
      <c r="G11" s="3">
        <v>2531710</v>
      </c>
      <c r="H11" s="3">
        <v>827699</v>
      </c>
      <c r="I11" s="3">
        <v>391299</v>
      </c>
      <c r="J11" s="3">
        <v>1115063</v>
      </c>
      <c r="K11" s="3">
        <v>714424</v>
      </c>
      <c r="L11" s="3">
        <v>15200515</v>
      </c>
      <c r="M11" t="s">
        <v>23</v>
      </c>
    </row>
    <row r="12" spans="1:14" x14ac:dyDescent="0.25">
      <c r="A12" t="s">
        <v>20</v>
      </c>
      <c r="B12">
        <v>2021</v>
      </c>
      <c r="C12" s="3">
        <v>842945</v>
      </c>
      <c r="D12" s="2">
        <v>24039512</v>
      </c>
      <c r="E12" s="3">
        <v>22398962</v>
      </c>
      <c r="F12" s="3">
        <v>3590055</v>
      </c>
      <c r="G12" s="2">
        <v>2830180</v>
      </c>
      <c r="H12" s="3">
        <v>995792</v>
      </c>
      <c r="I12" s="2">
        <v>454993</v>
      </c>
      <c r="J12" s="3">
        <v>1397908</v>
      </c>
      <c r="K12" s="3">
        <v>406909</v>
      </c>
      <c r="L12" s="3">
        <v>16954553</v>
      </c>
      <c r="M12" t="s">
        <v>24</v>
      </c>
    </row>
    <row r="13" spans="1:14" x14ac:dyDescent="0.25">
      <c r="A13" t="s">
        <v>20</v>
      </c>
      <c r="B13">
        <v>2022</v>
      </c>
      <c r="C13" s="2">
        <v>1023075</v>
      </c>
      <c r="D13" s="3">
        <v>28329010</v>
      </c>
      <c r="E13" s="3">
        <v>24039512</v>
      </c>
      <c r="F13" s="3">
        <v>4265802</v>
      </c>
      <c r="G13" s="3">
        <v>3590055</v>
      </c>
      <c r="H13" s="3">
        <v>1243095</v>
      </c>
      <c r="I13" s="3">
        <v>560982</v>
      </c>
      <c r="J13" s="3">
        <v>1946389</v>
      </c>
      <c r="K13" s="3">
        <v>392860</v>
      </c>
      <c r="L13" s="3">
        <v>17857276</v>
      </c>
      <c r="M13" t="s">
        <v>25</v>
      </c>
    </row>
    <row r="14" spans="1:14" x14ac:dyDescent="0.25">
      <c r="A14" t="s">
        <v>20</v>
      </c>
      <c r="B14">
        <v>2023</v>
      </c>
      <c r="C14" s="3">
        <v>1119058</v>
      </c>
      <c r="D14" s="3">
        <v>31771136</v>
      </c>
      <c r="E14" s="3">
        <v>28329010</v>
      </c>
      <c r="F14" s="3">
        <v>4747709</v>
      </c>
      <c r="G14" s="3">
        <v>4265802</v>
      </c>
      <c r="H14" s="3">
        <v>1495596</v>
      </c>
      <c r="I14" s="3">
        <v>681762</v>
      </c>
      <c r="J14" s="2">
        <v>2132112</v>
      </c>
      <c r="K14" s="3">
        <v>425535</v>
      </c>
      <c r="L14" s="3">
        <v>21276749</v>
      </c>
      <c r="M14" t="s">
        <v>26</v>
      </c>
    </row>
    <row r="15" spans="1:14" x14ac:dyDescent="0.25">
      <c r="A15" t="s">
        <v>20</v>
      </c>
      <c r="B15">
        <v>2024</v>
      </c>
      <c r="C15" s="3">
        <v>1244716</v>
      </c>
      <c r="D15" s="3">
        <v>37655290</v>
      </c>
      <c r="E15" s="3">
        <v>31771136</v>
      </c>
      <c r="F15" s="2">
        <v>5454829</v>
      </c>
      <c r="G15" s="3">
        <v>4747709</v>
      </c>
      <c r="H15" s="3">
        <v>1590992</v>
      </c>
      <c r="I15" s="3">
        <v>779484</v>
      </c>
      <c r="J15" s="3">
        <v>2373954</v>
      </c>
      <c r="K15" s="3">
        <v>539431</v>
      </c>
      <c r="L15" s="3">
        <v>24519589</v>
      </c>
      <c r="M15" t="s">
        <v>27</v>
      </c>
    </row>
    <row r="16" spans="1:14" x14ac:dyDescent="0.25">
      <c r="A16" t="s">
        <v>28</v>
      </c>
      <c r="B16">
        <v>2018</v>
      </c>
      <c r="C16" s="3">
        <v>37292</v>
      </c>
      <c r="D16" s="3">
        <v>1435790</v>
      </c>
      <c r="E16" s="3">
        <v>1231599</v>
      </c>
      <c r="F16" s="2">
        <v>249534</v>
      </c>
      <c r="G16" s="3">
        <v>213491</v>
      </c>
      <c r="H16" s="3">
        <v>55718</v>
      </c>
      <c r="I16" s="3">
        <v>25858</v>
      </c>
      <c r="J16" s="3">
        <v>69383</v>
      </c>
      <c r="K16" s="3">
        <v>40666</v>
      </c>
      <c r="L16" s="3">
        <v>916451</v>
      </c>
      <c r="M16" t="s">
        <v>31</v>
      </c>
    </row>
    <row r="17" spans="1:14" x14ac:dyDescent="0.25">
      <c r="A17" t="s">
        <v>28</v>
      </c>
      <c r="B17">
        <v>2019</v>
      </c>
      <c r="C17" s="3">
        <v>37327</v>
      </c>
      <c r="D17" s="3">
        <v>1700912</v>
      </c>
      <c r="E17" s="3">
        <v>1435790</v>
      </c>
      <c r="F17" s="3">
        <v>283638</v>
      </c>
      <c r="G17" s="3">
        <v>249534</v>
      </c>
      <c r="H17" s="3">
        <v>59437</v>
      </c>
      <c r="I17" s="3">
        <v>32442</v>
      </c>
      <c r="J17" s="3">
        <v>74000</v>
      </c>
      <c r="K17" s="3">
        <v>53568</v>
      </c>
      <c r="L17" s="3">
        <v>1000429</v>
      </c>
      <c r="M17" t="s">
        <v>32</v>
      </c>
      <c r="N17" s="5"/>
    </row>
    <row r="18" spans="1:14" x14ac:dyDescent="0.25">
      <c r="A18" t="s">
        <v>28</v>
      </c>
      <c r="B18">
        <v>2020</v>
      </c>
      <c r="C18" s="3">
        <v>24221</v>
      </c>
      <c r="D18" s="3">
        <v>2068738</v>
      </c>
      <c r="E18" s="3">
        <v>1700912</v>
      </c>
      <c r="F18" s="3">
        <v>308890</v>
      </c>
      <c r="G18" s="3">
        <v>283638</v>
      </c>
      <c r="H18" s="3">
        <v>54394</v>
      </c>
      <c r="I18" s="3">
        <v>31197</v>
      </c>
      <c r="J18" s="3">
        <v>66503</v>
      </c>
      <c r="K18" s="3">
        <v>82955</v>
      </c>
      <c r="L18" s="3">
        <v>1101318</v>
      </c>
      <c r="M18" t="s">
        <v>33</v>
      </c>
    </row>
    <row r="19" spans="1:14" x14ac:dyDescent="0.25">
      <c r="A19" t="s">
        <v>28</v>
      </c>
      <c r="B19">
        <v>2021</v>
      </c>
      <c r="C19" s="3">
        <v>38581</v>
      </c>
      <c r="D19" s="3">
        <v>1929664</v>
      </c>
      <c r="E19" s="3">
        <v>2068738</v>
      </c>
      <c r="F19" s="3">
        <v>351405</v>
      </c>
      <c r="G19" s="3">
        <v>308890</v>
      </c>
      <c r="H19" s="3">
        <v>67918</v>
      </c>
      <c r="I19" s="3">
        <v>41160</v>
      </c>
      <c r="J19" s="3">
        <v>82461</v>
      </c>
      <c r="K19" s="3">
        <v>59916</v>
      </c>
      <c r="L19" s="3">
        <v>1263319</v>
      </c>
      <c r="M19" t="s">
        <v>34</v>
      </c>
    </row>
    <row r="20" spans="1:14" x14ac:dyDescent="0.25">
      <c r="A20" t="s">
        <v>28</v>
      </c>
      <c r="B20">
        <v>2022</v>
      </c>
      <c r="C20" s="3">
        <v>74054</v>
      </c>
      <c r="D20" s="3">
        <v>3190361</v>
      </c>
      <c r="E20" s="3">
        <v>1929664</v>
      </c>
      <c r="F20" s="3">
        <v>454474</v>
      </c>
      <c r="G20" s="3">
        <v>351405</v>
      </c>
      <c r="H20" s="3">
        <v>125841</v>
      </c>
      <c r="I20" s="3">
        <v>72110</v>
      </c>
      <c r="J20" s="3">
        <v>151286</v>
      </c>
      <c r="K20" s="3">
        <v>82976</v>
      </c>
      <c r="L20" s="3">
        <v>2121190</v>
      </c>
      <c r="M20" t="s">
        <v>35</v>
      </c>
    </row>
    <row r="21" spans="1:14" x14ac:dyDescent="0.25">
      <c r="A21" t="s">
        <v>28</v>
      </c>
      <c r="B21">
        <v>2023</v>
      </c>
      <c r="C21" s="3">
        <v>76885</v>
      </c>
      <c r="D21" s="3">
        <v>3618949</v>
      </c>
      <c r="E21" s="3">
        <v>3177105</v>
      </c>
      <c r="F21" s="3">
        <v>520742</v>
      </c>
      <c r="G21" s="3">
        <v>453881</v>
      </c>
      <c r="H21" s="3">
        <v>136614</v>
      </c>
      <c r="I21" s="3">
        <v>82652</v>
      </c>
      <c r="J21" s="3">
        <v>173534</v>
      </c>
      <c r="K21" s="3">
        <v>93544</v>
      </c>
      <c r="L21" s="3">
        <v>2527164</v>
      </c>
      <c r="M21" t="s">
        <v>36</v>
      </c>
    </row>
    <row r="22" spans="1:14" x14ac:dyDescent="0.25">
      <c r="A22" t="s">
        <v>28</v>
      </c>
      <c r="B22">
        <v>2024</v>
      </c>
      <c r="C22" s="3">
        <v>87423</v>
      </c>
      <c r="D22" s="3">
        <v>4054144</v>
      </c>
      <c r="E22" s="3">
        <v>3618949</v>
      </c>
      <c r="F22" s="3">
        <v>632416</v>
      </c>
      <c r="G22" s="3">
        <v>520742</v>
      </c>
      <c r="H22" s="3">
        <v>156939</v>
      </c>
      <c r="I22" s="3">
        <v>100192</v>
      </c>
      <c r="J22" s="3">
        <v>203728</v>
      </c>
      <c r="K22" s="3">
        <v>98218</v>
      </c>
      <c r="L22" s="3">
        <v>2957789</v>
      </c>
      <c r="M22" t="s">
        <v>37</v>
      </c>
    </row>
    <row r="23" spans="1:14" x14ac:dyDescent="0.25">
      <c r="A23" t="s">
        <v>29</v>
      </c>
      <c r="B23">
        <v>2018</v>
      </c>
      <c r="C23" s="3">
        <v>20191</v>
      </c>
      <c r="D23" s="3">
        <v>776623</v>
      </c>
      <c r="E23" s="3">
        <v>614692</v>
      </c>
      <c r="F23" s="3">
        <v>129477</v>
      </c>
      <c r="G23" s="3">
        <v>120470</v>
      </c>
      <c r="H23" s="3">
        <v>101170</v>
      </c>
      <c r="I23" s="3">
        <v>79324</v>
      </c>
      <c r="J23" s="3">
        <v>116741</v>
      </c>
      <c r="K23" s="3">
        <v>3122</v>
      </c>
      <c r="L23" s="3">
        <v>689249</v>
      </c>
      <c r="M23" t="s">
        <v>38</v>
      </c>
    </row>
    <row r="24" spans="1:14" x14ac:dyDescent="0.25">
      <c r="A24" t="s">
        <v>29</v>
      </c>
      <c r="B24">
        <v>2019</v>
      </c>
      <c r="C24" s="3">
        <v>29539</v>
      </c>
      <c r="D24" s="3">
        <v>1010232</v>
      </c>
      <c r="E24" s="3">
        <v>776623</v>
      </c>
      <c r="F24" s="3">
        <v>152688</v>
      </c>
      <c r="G24" s="3">
        <v>129477</v>
      </c>
      <c r="H24" s="3">
        <v>120512</v>
      </c>
      <c r="I24" s="3">
        <v>88061</v>
      </c>
      <c r="J24" s="3">
        <v>139587</v>
      </c>
      <c r="K24" s="3">
        <v>3751</v>
      </c>
      <c r="L24" s="3">
        <v>845936</v>
      </c>
      <c r="M24" t="s">
        <v>39</v>
      </c>
    </row>
    <row r="25" spans="1:14" x14ac:dyDescent="0.25">
      <c r="A25" t="s">
        <v>29</v>
      </c>
      <c r="B25">
        <v>2020</v>
      </c>
      <c r="C25" s="3">
        <v>10858</v>
      </c>
      <c r="D25" s="3">
        <v>1350324</v>
      </c>
      <c r="E25" s="3">
        <v>1010232</v>
      </c>
      <c r="F25" s="3">
        <v>163638</v>
      </c>
      <c r="G25" s="3">
        <v>152688</v>
      </c>
      <c r="H25" s="3">
        <v>125598</v>
      </c>
      <c r="I25" s="3">
        <v>94713</v>
      </c>
      <c r="J25" s="3">
        <v>142998</v>
      </c>
      <c r="K25" s="3">
        <v>12291</v>
      </c>
      <c r="L25" s="3">
        <v>1069598</v>
      </c>
      <c r="M25" t="s">
        <v>40</v>
      </c>
    </row>
    <row r="26" spans="1:14" x14ac:dyDescent="0.25">
      <c r="A26" t="s">
        <v>29</v>
      </c>
      <c r="B26">
        <v>2021</v>
      </c>
      <c r="C26" s="3">
        <v>36710</v>
      </c>
      <c r="D26" s="3">
        <v>1754928</v>
      </c>
      <c r="E26" s="3">
        <v>1350324</v>
      </c>
      <c r="F26" s="3">
        <v>224311</v>
      </c>
      <c r="G26" s="3">
        <v>163638</v>
      </c>
      <c r="H26" s="3">
        <v>190122</v>
      </c>
      <c r="I26" s="3">
        <v>126353</v>
      </c>
      <c r="J26" s="3">
        <v>214977</v>
      </c>
      <c r="K26" s="3">
        <v>24514</v>
      </c>
      <c r="L26" s="3">
        <v>1487737</v>
      </c>
      <c r="M26" t="s">
        <v>41</v>
      </c>
    </row>
    <row r="27" spans="1:14" x14ac:dyDescent="0.25">
      <c r="A27" t="s">
        <v>29</v>
      </c>
      <c r="B27">
        <v>2022</v>
      </c>
      <c r="C27" s="3">
        <v>45211</v>
      </c>
      <c r="D27" s="3">
        <v>2187631</v>
      </c>
      <c r="E27" s="3">
        <v>1754928</v>
      </c>
      <c r="F27" s="3">
        <v>264502</v>
      </c>
      <c r="G27" s="3">
        <v>224311</v>
      </c>
      <c r="H27" s="3">
        <v>220010</v>
      </c>
      <c r="I27" s="3">
        <v>145384</v>
      </c>
      <c r="J27" s="3">
        <v>248782</v>
      </c>
      <c r="K27" s="3">
        <v>17517</v>
      </c>
      <c r="L27" s="3">
        <v>1792559</v>
      </c>
      <c r="M27" t="s">
        <v>42</v>
      </c>
    </row>
    <row r="28" spans="1:14" x14ac:dyDescent="0.25">
      <c r="A28" t="s">
        <v>29</v>
      </c>
      <c r="B28">
        <v>2023</v>
      </c>
      <c r="C28" s="3">
        <v>41073</v>
      </c>
      <c r="D28" s="3">
        <v>2469764</v>
      </c>
      <c r="E28" s="3">
        <v>2187631</v>
      </c>
      <c r="F28" s="3">
        <v>306920</v>
      </c>
      <c r="G28" s="3">
        <v>264502</v>
      </c>
      <c r="H28" s="3">
        <v>253868</v>
      </c>
      <c r="I28" s="3">
        <v>166586</v>
      </c>
      <c r="J28" s="3">
        <v>273025</v>
      </c>
      <c r="K28" s="3">
        <v>19751</v>
      </c>
      <c r="L28" s="3">
        <v>2025101</v>
      </c>
      <c r="M28" t="s">
        <v>43</v>
      </c>
    </row>
    <row r="29" spans="1:14" x14ac:dyDescent="0.25">
      <c r="A29" t="s">
        <v>29</v>
      </c>
      <c r="B29">
        <v>2024</v>
      </c>
      <c r="C29" s="3">
        <v>68605</v>
      </c>
      <c r="D29" s="3">
        <v>3068974</v>
      </c>
      <c r="E29" s="3">
        <v>2469764</v>
      </c>
      <c r="F29" s="3">
        <v>377604</v>
      </c>
      <c r="G29" s="3">
        <v>306920</v>
      </c>
      <c r="H29" s="3">
        <v>302449</v>
      </c>
      <c r="I29" s="3">
        <v>188912</v>
      </c>
      <c r="J29" s="3">
        <v>333943</v>
      </c>
      <c r="K29" s="3">
        <v>20440</v>
      </c>
      <c r="L29" s="3">
        <v>2542569</v>
      </c>
      <c r="M29" t="s">
        <v>44</v>
      </c>
    </row>
    <row r="30" spans="1:14" x14ac:dyDescent="0.25">
      <c r="A30" t="s">
        <v>30</v>
      </c>
      <c r="B30">
        <v>2018</v>
      </c>
      <c r="C30" s="3">
        <v>26949</v>
      </c>
      <c r="D30" s="3">
        <v>1649003</v>
      </c>
      <c r="E30" s="3">
        <v>1596192</v>
      </c>
      <c r="F30" s="3">
        <v>255064</v>
      </c>
      <c r="G30" s="3">
        <v>227805</v>
      </c>
      <c r="H30" s="3">
        <v>67660</v>
      </c>
      <c r="I30" s="3">
        <v>61191</v>
      </c>
      <c r="J30" s="3">
        <v>99877</v>
      </c>
      <c r="K30" s="3">
        <v>36237</v>
      </c>
      <c r="L30" s="3">
        <v>1126167</v>
      </c>
      <c r="M30" t="s">
        <v>45</v>
      </c>
    </row>
    <row r="31" spans="1:14" x14ac:dyDescent="0.25">
      <c r="A31" t="s">
        <v>30</v>
      </c>
      <c r="B31">
        <v>2019</v>
      </c>
      <c r="C31" s="3">
        <v>29755</v>
      </c>
      <c r="D31" s="3">
        <v>1690659</v>
      </c>
      <c r="E31" s="3">
        <v>1649003</v>
      </c>
      <c r="F31" s="3">
        <v>283613</v>
      </c>
      <c r="G31" s="3">
        <v>255064</v>
      </c>
      <c r="H31" s="3">
        <v>64435</v>
      </c>
      <c r="I31" s="3">
        <v>60660</v>
      </c>
      <c r="J31" s="3">
        <v>92655</v>
      </c>
      <c r="K31" s="3">
        <v>46796</v>
      </c>
      <c r="L31" s="3">
        <v>1186796</v>
      </c>
      <c r="M31" t="s">
        <v>46</v>
      </c>
    </row>
    <row r="32" spans="1:14" x14ac:dyDescent="0.25">
      <c r="A32" t="s">
        <v>30</v>
      </c>
      <c r="B32">
        <v>2020</v>
      </c>
      <c r="C32" s="3">
        <v>26714</v>
      </c>
      <c r="D32" s="3">
        <v>2131642</v>
      </c>
      <c r="E32" s="3">
        <v>1690659</v>
      </c>
      <c r="F32" s="3">
        <v>308993</v>
      </c>
      <c r="G32" s="3">
        <v>283613</v>
      </c>
      <c r="H32" s="3">
        <v>70131</v>
      </c>
      <c r="I32" s="3">
        <v>62436</v>
      </c>
      <c r="J32" s="3">
        <v>75768</v>
      </c>
      <c r="K32" s="3">
        <v>41162</v>
      </c>
      <c r="L32" s="3">
        <v>1437056</v>
      </c>
      <c r="M32" t="s">
        <v>47</v>
      </c>
    </row>
    <row r="33" spans="1:13" x14ac:dyDescent="0.25">
      <c r="A33" t="s">
        <v>30</v>
      </c>
      <c r="B33">
        <v>2021</v>
      </c>
      <c r="C33" s="3">
        <v>33995</v>
      </c>
      <c r="D33" s="3">
        <v>2228268</v>
      </c>
      <c r="E33" s="3">
        <v>2131642</v>
      </c>
      <c r="F33" s="3">
        <v>405538</v>
      </c>
      <c r="G33" s="3">
        <v>308993</v>
      </c>
      <c r="H33" s="3">
        <v>88957</v>
      </c>
      <c r="I33" s="3">
        <v>67449</v>
      </c>
      <c r="J33" s="3">
        <v>115769</v>
      </c>
      <c r="K33" s="3">
        <v>41595</v>
      </c>
      <c r="L33" s="3">
        <v>1580987</v>
      </c>
      <c r="M33" t="s">
        <v>48</v>
      </c>
    </row>
    <row r="34" spans="1:13" x14ac:dyDescent="0.25">
      <c r="A34" t="s">
        <v>30</v>
      </c>
      <c r="B34">
        <v>2022</v>
      </c>
      <c r="C34" s="6">
        <v>-83562</v>
      </c>
      <c r="D34" s="3">
        <v>486365</v>
      </c>
      <c r="E34" s="3">
        <v>2228268</v>
      </c>
      <c r="F34" s="3">
        <v>320943</v>
      </c>
      <c r="G34" s="3">
        <v>405538</v>
      </c>
      <c r="H34" s="3">
        <v>32474</v>
      </c>
      <c r="I34" s="3">
        <v>31135</v>
      </c>
      <c r="J34" s="7">
        <v>-50663</v>
      </c>
      <c r="K34" s="3">
        <v>48578</v>
      </c>
      <c r="L34" s="3">
        <v>266257</v>
      </c>
      <c r="M34" t="s">
        <v>49</v>
      </c>
    </row>
    <row r="35" spans="1:13" x14ac:dyDescent="0.25">
      <c r="A35" t="s">
        <v>30</v>
      </c>
      <c r="B35">
        <v>2023</v>
      </c>
      <c r="C35" s="3">
        <v>400</v>
      </c>
      <c r="D35" s="3">
        <v>452928</v>
      </c>
      <c r="E35" s="3">
        <v>486365</v>
      </c>
      <c r="F35" s="3">
        <v>321343</v>
      </c>
      <c r="G35" s="3">
        <v>320943</v>
      </c>
      <c r="H35" s="3">
        <v>11548</v>
      </c>
      <c r="I35" s="3">
        <v>34107</v>
      </c>
      <c r="J35" s="3">
        <v>38382</v>
      </c>
      <c r="K35" s="3">
        <v>53783</v>
      </c>
      <c r="L35" s="3">
        <v>210411</v>
      </c>
      <c r="M35" t="s">
        <v>49</v>
      </c>
    </row>
    <row r="36" spans="1:13" x14ac:dyDescent="0.25">
      <c r="A36" t="s">
        <v>30</v>
      </c>
      <c r="B36">
        <v>2024</v>
      </c>
      <c r="C36" s="3">
        <v>8410</v>
      </c>
      <c r="D36" s="3">
        <v>450554</v>
      </c>
      <c r="E36" s="3">
        <v>452928</v>
      </c>
      <c r="F36" s="3">
        <v>330580</v>
      </c>
      <c r="G36" s="3">
        <v>321343</v>
      </c>
      <c r="H36" s="3">
        <v>7549</v>
      </c>
      <c r="I36" s="3">
        <v>14421</v>
      </c>
      <c r="J36" s="3">
        <v>30911</v>
      </c>
      <c r="K36" s="3">
        <v>114156</v>
      </c>
      <c r="L36" s="3">
        <v>194982</v>
      </c>
      <c r="M36" t="s">
        <v>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91256-4FAC-4870-BF03-0526CB06DFCC}">
  <dimension ref="A1:L36"/>
  <sheetViews>
    <sheetView topLeftCell="A4" zoomScale="45" zoomScaleNormal="70" workbookViewId="0">
      <selection activeCell="O42" sqref="O42"/>
    </sheetView>
  </sheetViews>
  <sheetFormatPr defaultRowHeight="15" x14ac:dyDescent="0.25"/>
  <cols>
    <col min="2" max="2" width="9.42578125" customWidth="1"/>
    <col min="3" max="3" width="10.5703125" bestFit="1" customWidth="1"/>
    <col min="6" max="6" width="23.7109375" bestFit="1" customWidth="1"/>
    <col min="7" max="7" width="23.5703125" bestFit="1" customWidth="1"/>
    <col min="8" max="8" width="16.7109375" bestFit="1" customWidth="1"/>
    <col min="9" max="9" width="17.140625" bestFit="1" customWidth="1"/>
    <col min="10" max="10" width="19.7109375" bestFit="1" customWidth="1"/>
    <col min="11" max="11" width="20" bestFit="1" customWidth="1"/>
    <col min="12" max="12" width="20.42578125" bestFit="1" customWidth="1"/>
    <col min="13" max="13" width="8" bestFit="1" customWidth="1"/>
    <col min="14" max="14" width="11.28515625" bestFit="1" customWidth="1"/>
  </cols>
  <sheetData>
    <row r="1" spans="1:3" x14ac:dyDescent="0.25">
      <c r="A1" s="1" t="s">
        <v>0</v>
      </c>
      <c r="B1" s="1" t="s">
        <v>1</v>
      </c>
      <c r="C1" s="1" t="s">
        <v>2</v>
      </c>
    </row>
    <row r="2" spans="1:3" x14ac:dyDescent="0.25">
      <c r="A2" t="s">
        <v>12</v>
      </c>
      <c r="B2">
        <v>2018</v>
      </c>
      <c r="C2" s="2">
        <v>343528</v>
      </c>
    </row>
    <row r="3" spans="1:3" x14ac:dyDescent="0.25">
      <c r="A3" t="s">
        <v>12</v>
      </c>
      <c r="B3">
        <v>2019</v>
      </c>
      <c r="C3" s="2">
        <v>512887</v>
      </c>
    </row>
    <row r="4" spans="1:3" x14ac:dyDescent="0.25">
      <c r="A4" t="s">
        <v>12</v>
      </c>
      <c r="B4">
        <v>2020</v>
      </c>
      <c r="C4" s="2">
        <v>306498</v>
      </c>
    </row>
    <row r="5" spans="1:3" x14ac:dyDescent="0.25">
      <c r="A5" t="s">
        <v>12</v>
      </c>
      <c r="B5">
        <v>2021</v>
      </c>
      <c r="C5" s="2">
        <v>743811</v>
      </c>
    </row>
    <row r="6" spans="1:3" x14ac:dyDescent="0.25">
      <c r="A6" t="s">
        <v>12</v>
      </c>
      <c r="B6">
        <v>2022</v>
      </c>
      <c r="C6" s="2">
        <v>992004</v>
      </c>
    </row>
    <row r="7" spans="1:3" x14ac:dyDescent="0.25">
      <c r="A7" t="s">
        <v>12</v>
      </c>
      <c r="B7">
        <v>2023</v>
      </c>
      <c r="C7" s="2">
        <v>1333719</v>
      </c>
    </row>
    <row r="8" spans="1:3" x14ac:dyDescent="0.25">
      <c r="A8" t="s">
        <v>12</v>
      </c>
      <c r="B8">
        <v>2024</v>
      </c>
      <c r="C8" s="2">
        <v>1837899</v>
      </c>
    </row>
    <row r="9" spans="1:3" x14ac:dyDescent="0.25">
      <c r="A9" t="s">
        <v>20</v>
      </c>
      <c r="B9">
        <v>2018</v>
      </c>
      <c r="C9" s="2">
        <v>433300</v>
      </c>
    </row>
    <row r="10" spans="1:3" x14ac:dyDescent="0.25">
      <c r="A10" t="s">
        <v>20</v>
      </c>
      <c r="B10">
        <v>2019</v>
      </c>
      <c r="C10" s="3">
        <v>545685</v>
      </c>
    </row>
    <row r="11" spans="1:3" x14ac:dyDescent="0.25">
      <c r="A11" t="s">
        <v>20</v>
      </c>
      <c r="B11">
        <v>2020</v>
      </c>
      <c r="C11" s="3">
        <v>337260</v>
      </c>
    </row>
    <row r="12" spans="1:3" x14ac:dyDescent="0.25">
      <c r="A12" t="s">
        <v>20</v>
      </c>
      <c r="B12">
        <v>2021</v>
      </c>
      <c r="C12" s="3">
        <v>842945</v>
      </c>
    </row>
    <row r="13" spans="1:3" x14ac:dyDescent="0.25">
      <c r="A13" t="s">
        <v>20</v>
      </c>
      <c r="B13">
        <v>2022</v>
      </c>
      <c r="C13" s="2">
        <v>1023075</v>
      </c>
    </row>
    <row r="14" spans="1:3" x14ac:dyDescent="0.25">
      <c r="A14" t="s">
        <v>20</v>
      </c>
      <c r="B14">
        <v>2023</v>
      </c>
      <c r="C14" s="3">
        <v>1119058</v>
      </c>
    </row>
    <row r="15" spans="1:3" x14ac:dyDescent="0.25">
      <c r="A15" t="s">
        <v>20</v>
      </c>
      <c r="B15">
        <v>2024</v>
      </c>
      <c r="C15" s="3">
        <v>1244716</v>
      </c>
    </row>
    <row r="16" spans="1:3" x14ac:dyDescent="0.25">
      <c r="A16" t="s">
        <v>28</v>
      </c>
      <c r="B16">
        <v>2018</v>
      </c>
      <c r="C16" s="3">
        <v>37292</v>
      </c>
    </row>
    <row r="17" spans="1:12" x14ac:dyDescent="0.25">
      <c r="A17" t="s">
        <v>28</v>
      </c>
      <c r="B17">
        <v>2019</v>
      </c>
      <c r="C17" s="3">
        <v>37327</v>
      </c>
      <c r="F17" s="16" t="s">
        <v>205</v>
      </c>
      <c r="G17" s="16" t="s">
        <v>77</v>
      </c>
    </row>
    <row r="18" spans="1:12" x14ac:dyDescent="0.25">
      <c r="A18" t="s">
        <v>28</v>
      </c>
      <c r="B18">
        <v>2020</v>
      </c>
      <c r="C18" s="3">
        <v>24221</v>
      </c>
      <c r="F18" s="16" t="s">
        <v>75</v>
      </c>
      <c r="G18" t="s">
        <v>30</v>
      </c>
      <c r="H18" t="s">
        <v>29</v>
      </c>
      <c r="I18" t="s">
        <v>28</v>
      </c>
      <c r="J18" t="s">
        <v>20</v>
      </c>
      <c r="K18" t="s">
        <v>12</v>
      </c>
      <c r="L18" t="s">
        <v>76</v>
      </c>
    </row>
    <row r="19" spans="1:12" x14ac:dyDescent="0.25">
      <c r="A19" t="s">
        <v>28</v>
      </c>
      <c r="B19">
        <v>2021</v>
      </c>
      <c r="C19" s="3">
        <v>38581</v>
      </c>
      <c r="F19" s="17">
        <v>2018</v>
      </c>
      <c r="G19" s="59">
        <v>26949</v>
      </c>
      <c r="H19" s="59">
        <v>20191</v>
      </c>
      <c r="I19" s="59">
        <v>37292</v>
      </c>
      <c r="J19" s="59">
        <v>433300</v>
      </c>
      <c r="K19" s="59">
        <v>343528</v>
      </c>
      <c r="L19" s="59">
        <v>861260</v>
      </c>
    </row>
    <row r="20" spans="1:12" x14ac:dyDescent="0.25">
      <c r="A20" t="s">
        <v>28</v>
      </c>
      <c r="B20">
        <v>2022</v>
      </c>
      <c r="C20" s="3">
        <v>74054</v>
      </c>
      <c r="F20" s="17">
        <v>2019</v>
      </c>
      <c r="G20" s="59">
        <v>29755</v>
      </c>
      <c r="H20" s="59">
        <v>29539</v>
      </c>
      <c r="I20" s="59">
        <v>37327</v>
      </c>
      <c r="J20" s="59">
        <v>545685</v>
      </c>
      <c r="K20" s="59">
        <v>512887</v>
      </c>
      <c r="L20" s="59">
        <v>1155193</v>
      </c>
    </row>
    <row r="21" spans="1:12" x14ac:dyDescent="0.25">
      <c r="A21" t="s">
        <v>28</v>
      </c>
      <c r="B21">
        <v>2023</v>
      </c>
      <c r="C21" s="3">
        <v>76885</v>
      </c>
      <c r="F21" s="17">
        <v>2020</v>
      </c>
      <c r="G21" s="59">
        <v>26714</v>
      </c>
      <c r="H21" s="59">
        <v>10858</v>
      </c>
      <c r="I21" s="59">
        <v>24221</v>
      </c>
      <c r="J21" s="59">
        <v>337260</v>
      </c>
      <c r="K21" s="59">
        <v>306498</v>
      </c>
      <c r="L21" s="59">
        <v>705551</v>
      </c>
    </row>
    <row r="22" spans="1:12" x14ac:dyDescent="0.25">
      <c r="A22" t="s">
        <v>28</v>
      </c>
      <c r="B22">
        <v>2024</v>
      </c>
      <c r="C22" s="3">
        <v>87423</v>
      </c>
      <c r="F22" s="17">
        <v>2021</v>
      </c>
      <c r="G22" s="59">
        <v>33995</v>
      </c>
      <c r="H22" s="59">
        <v>36710</v>
      </c>
      <c r="I22" s="59">
        <v>38581</v>
      </c>
      <c r="J22" s="59">
        <v>842945</v>
      </c>
      <c r="K22" s="59">
        <v>743811</v>
      </c>
      <c r="L22" s="59">
        <v>1696042</v>
      </c>
    </row>
    <row r="23" spans="1:12" x14ac:dyDescent="0.25">
      <c r="A23" t="s">
        <v>29</v>
      </c>
      <c r="B23">
        <v>2018</v>
      </c>
      <c r="C23" s="3">
        <v>20191</v>
      </c>
      <c r="F23" s="17">
        <v>2022</v>
      </c>
      <c r="G23" s="59">
        <v>-83562</v>
      </c>
      <c r="H23" s="59">
        <v>45211</v>
      </c>
      <c r="I23" s="59">
        <v>74054</v>
      </c>
      <c r="J23" s="59">
        <v>1023075</v>
      </c>
      <c r="K23" s="59">
        <v>992004</v>
      </c>
      <c r="L23" s="59">
        <v>2050782</v>
      </c>
    </row>
    <row r="24" spans="1:12" x14ac:dyDescent="0.25">
      <c r="A24" t="s">
        <v>29</v>
      </c>
      <c r="B24">
        <v>2019</v>
      </c>
      <c r="C24" s="3">
        <v>29539</v>
      </c>
      <c r="F24" s="17">
        <v>2023</v>
      </c>
      <c r="G24" s="59">
        <v>400</v>
      </c>
      <c r="H24" s="59">
        <v>41073</v>
      </c>
      <c r="I24" s="59">
        <v>76885</v>
      </c>
      <c r="J24" s="59">
        <v>1119058</v>
      </c>
      <c r="K24" s="59">
        <v>1333719</v>
      </c>
      <c r="L24" s="59">
        <v>2571135</v>
      </c>
    </row>
    <row r="25" spans="1:12" x14ac:dyDescent="0.25">
      <c r="A25" t="s">
        <v>29</v>
      </c>
      <c r="B25">
        <v>2020</v>
      </c>
      <c r="C25" s="3">
        <v>10858</v>
      </c>
      <c r="F25" s="17">
        <v>2024</v>
      </c>
      <c r="G25" s="59">
        <v>8410</v>
      </c>
      <c r="H25" s="59">
        <v>68605</v>
      </c>
      <c r="I25" s="59">
        <v>87423</v>
      </c>
      <c r="J25" s="59">
        <v>1244716</v>
      </c>
      <c r="K25" s="59">
        <v>1837899</v>
      </c>
      <c r="L25" s="59">
        <v>3247053</v>
      </c>
    </row>
    <row r="26" spans="1:12" x14ac:dyDescent="0.25">
      <c r="A26" t="s">
        <v>29</v>
      </c>
      <c r="B26">
        <v>2021</v>
      </c>
      <c r="C26" s="3">
        <v>36710</v>
      </c>
      <c r="F26" s="17" t="s">
        <v>76</v>
      </c>
      <c r="G26" s="59">
        <v>42661</v>
      </c>
      <c r="H26" s="59">
        <v>252187</v>
      </c>
      <c r="I26" s="59">
        <v>375783</v>
      </c>
      <c r="J26" s="59">
        <v>5546039</v>
      </c>
      <c r="K26" s="59">
        <v>6070346</v>
      </c>
      <c r="L26" s="59">
        <v>12287016</v>
      </c>
    </row>
    <row r="27" spans="1:12" x14ac:dyDescent="0.25">
      <c r="A27" t="s">
        <v>29</v>
      </c>
      <c r="B27">
        <v>2022</v>
      </c>
      <c r="C27" s="3">
        <v>45211</v>
      </c>
    </row>
    <row r="28" spans="1:12" x14ac:dyDescent="0.25">
      <c r="A28" t="s">
        <v>29</v>
      </c>
      <c r="B28">
        <v>2023</v>
      </c>
      <c r="C28" s="3">
        <v>41073</v>
      </c>
    </row>
    <row r="29" spans="1:12" x14ac:dyDescent="0.25">
      <c r="A29" t="s">
        <v>29</v>
      </c>
      <c r="B29">
        <v>2024</v>
      </c>
      <c r="C29" s="3">
        <v>68605</v>
      </c>
    </row>
    <row r="30" spans="1:12" x14ac:dyDescent="0.25">
      <c r="A30" t="s">
        <v>30</v>
      </c>
      <c r="B30">
        <v>2018</v>
      </c>
      <c r="C30" s="3">
        <v>26949</v>
      </c>
    </row>
    <row r="31" spans="1:12" x14ac:dyDescent="0.25">
      <c r="A31" t="s">
        <v>30</v>
      </c>
      <c r="B31">
        <v>2019</v>
      </c>
      <c r="C31" s="3">
        <v>29755</v>
      </c>
    </row>
    <row r="32" spans="1:12" x14ac:dyDescent="0.25">
      <c r="A32" t="s">
        <v>30</v>
      </c>
      <c r="B32">
        <v>2020</v>
      </c>
      <c r="C32" s="3">
        <v>26714</v>
      </c>
    </row>
    <row r="33" spans="1:3" x14ac:dyDescent="0.25">
      <c r="A33" t="s">
        <v>30</v>
      </c>
      <c r="B33">
        <v>2021</v>
      </c>
      <c r="C33" s="3">
        <v>33995</v>
      </c>
    </row>
    <row r="34" spans="1:3" x14ac:dyDescent="0.25">
      <c r="A34" t="s">
        <v>30</v>
      </c>
      <c r="B34">
        <v>2022</v>
      </c>
      <c r="C34" s="6">
        <v>-83562</v>
      </c>
    </row>
    <row r="35" spans="1:3" x14ac:dyDescent="0.25">
      <c r="A35" t="s">
        <v>30</v>
      </c>
      <c r="B35">
        <v>2023</v>
      </c>
      <c r="C35" s="3">
        <v>400</v>
      </c>
    </row>
    <row r="36" spans="1:3" x14ac:dyDescent="0.25">
      <c r="A36" t="s">
        <v>30</v>
      </c>
      <c r="B36">
        <v>2024</v>
      </c>
      <c r="C36" s="3">
        <v>8410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FEA9-20C3-430E-B531-6E8D40357B7D}">
  <dimension ref="A1:I40"/>
  <sheetViews>
    <sheetView topLeftCell="A21" zoomScale="62" workbookViewId="0">
      <selection activeCell="F34" sqref="F34"/>
    </sheetView>
  </sheetViews>
  <sheetFormatPr defaultRowHeight="15" x14ac:dyDescent="0.25"/>
  <cols>
    <col min="3" max="3" width="12.140625" bestFit="1" customWidth="1"/>
    <col min="4" max="4" width="10.28515625" bestFit="1" customWidth="1"/>
    <col min="5" max="5" width="17.42578125" bestFit="1" customWidth="1"/>
    <col min="6" max="6" width="13.28515625" customWidth="1"/>
    <col min="7" max="7" width="15.85546875" bestFit="1" customWidth="1"/>
    <col min="8" max="8" width="28.7109375" bestFit="1" customWidth="1"/>
    <col min="9" max="9" width="22.85546875" bestFit="1" customWidth="1"/>
  </cols>
  <sheetData>
    <row r="1" spans="1:9" x14ac:dyDescent="0.25">
      <c r="A1" s="1" t="s">
        <v>0</v>
      </c>
      <c r="B1" s="1" t="s">
        <v>1</v>
      </c>
      <c r="C1" s="1" t="s">
        <v>53</v>
      </c>
      <c r="D1" s="1" t="s">
        <v>54</v>
      </c>
      <c r="E1" s="1" t="s">
        <v>72</v>
      </c>
      <c r="F1" s="1" t="s">
        <v>55</v>
      </c>
      <c r="G1" s="1" t="s">
        <v>56</v>
      </c>
      <c r="H1" s="1" t="s">
        <v>73</v>
      </c>
      <c r="I1" s="1" t="s">
        <v>80</v>
      </c>
    </row>
    <row r="2" spans="1:9" x14ac:dyDescent="0.25">
      <c r="A2" t="s">
        <v>12</v>
      </c>
      <c r="B2">
        <v>2018</v>
      </c>
      <c r="C2" s="15">
        <f>(Raw_Data!C2)/((Raw_Data!D2+Raw_Data!E2)/2)</f>
        <v>2.5311241183831466E-2</v>
      </c>
      <c r="D2" s="15">
        <f>(Raw_Data!C2)/((Raw_Data!F2+Raw_Data!G2)/2)</f>
        <v>0.21383981746353115</v>
      </c>
      <c r="E2" s="15">
        <f>(Raw_Data!H2)/((Raw_Data!D2+Raw_Data!E2)/2)</f>
        <v>5.3900370917610227E-2</v>
      </c>
      <c r="F2" s="15">
        <f>Raw_Data!I2/Raw_Data!J2</f>
        <v>0.35951998257562162</v>
      </c>
      <c r="G2" s="15">
        <f>Raw_Data!K2/Raw_Data!L2</f>
        <v>3.5623670296660692E-2</v>
      </c>
      <c r="H2" s="23">
        <f>Raw_Data!L2/(Raw_Data!E2+Raw_Data!D2)</f>
        <v>0.34744472900998785</v>
      </c>
      <c r="I2" s="24">
        <f>(Raw_Data!D2+Raw_Data!E2)/(Raw_Data!F2+Raw_Data!G2)</f>
        <v>8.4484129367835816</v>
      </c>
    </row>
    <row r="3" spans="1:9" x14ac:dyDescent="0.25">
      <c r="A3" t="s">
        <v>12</v>
      </c>
      <c r="B3">
        <v>2019</v>
      </c>
      <c r="C3" s="15">
        <f>(Raw_Data!C3)/((Raw_Data!D3+Raw_Data!E3)/2)</f>
        <v>3.1229029546552618E-2</v>
      </c>
      <c r="D3" s="15">
        <f>(Raw_Data!C3)/((Raw_Data!F3+Raw_Data!G3)/2)</f>
        <v>0.26934336372647488</v>
      </c>
      <c r="E3" s="15">
        <f>(Raw_Data!H3)/((Raw_Data!D3+Raw_Data!E3)/2)</f>
        <v>4.7710751820344198E-2</v>
      </c>
      <c r="F3" s="15">
        <f>Raw_Data!I3/Raw_Data!J3</f>
        <v>0.3717450448761534</v>
      </c>
      <c r="G3" s="15">
        <f>Raw_Data!K3/Raw_Data!L3</f>
        <v>2.1932961156486592E-2</v>
      </c>
      <c r="H3" s="23">
        <f>Raw_Data!L3/(Raw_Data!E3+Raw_Data!D3)</f>
        <v>0.36006522398978774</v>
      </c>
      <c r="I3" s="24">
        <f>(Raw_Data!D3+Raw_Data!E3)/(Raw_Data!F3+Raw_Data!G3)</f>
        <v>8.624775333635295</v>
      </c>
    </row>
    <row r="4" spans="1:9" x14ac:dyDescent="0.25">
      <c r="A4" t="s">
        <v>12</v>
      </c>
      <c r="B4">
        <v>2020</v>
      </c>
      <c r="C4" s="15">
        <f>(Raw_Data!C4)/((Raw_Data!D4+Raw_Data!E4)/2)</f>
        <v>1.5289913238280335E-2</v>
      </c>
      <c r="D4" s="15">
        <f>(Raw_Data!C4)/((Raw_Data!F4+Raw_Data!G4)/2)</f>
        <v>0.13426120918668058</v>
      </c>
      <c r="E4" s="15">
        <f>(Raw_Data!H4)/((Raw_Data!D4+Raw_Data!E4)/2)</f>
        <v>3.8162475669112045E-2</v>
      </c>
      <c r="F4" s="15">
        <f>Raw_Data!I4/Raw_Data!J4</f>
        <v>0.37568994583943133</v>
      </c>
      <c r="G4" s="15">
        <f>Raw_Data!K4/Raw_Data!L4</f>
        <v>3.9717726983378734E-2</v>
      </c>
      <c r="H4" s="23">
        <f>Raw_Data!L4/(Raw_Data!E4+Raw_Data!D4)</f>
        <v>0.35684428498598791</v>
      </c>
      <c r="I4" s="24">
        <f>(Raw_Data!D4+Raw_Data!E4)/(Raw_Data!F4+Raw_Data!G4)</f>
        <v>8.7810314613519029</v>
      </c>
    </row>
    <row r="5" spans="1:9" x14ac:dyDescent="0.25">
      <c r="A5" t="s">
        <v>12</v>
      </c>
      <c r="B5">
        <v>2021</v>
      </c>
      <c r="C5" s="15">
        <f>(Raw_Data!C5)/((Raw_Data!D5+Raw_Data!E5)/2)</f>
        <v>3.311012595327642E-2</v>
      </c>
      <c r="D5" s="15">
        <f>(Raw_Data!C5)/((Raw_Data!F5+Raw_Data!G5)/2)</f>
        <v>0.26854694889794661</v>
      </c>
      <c r="E5" s="15">
        <f>(Raw_Data!H5)/((Raw_Data!D5+Raw_Data!E5)/2)</f>
        <v>4.1882621576309807E-2</v>
      </c>
      <c r="F5" s="15">
        <f>Raw_Data!I5/Raw_Data!J5</f>
        <v>0.35354851666997567</v>
      </c>
      <c r="G5" s="15">
        <f>Raw_Data!K5/Raw_Data!L5</f>
        <v>2.5781325049450486E-2</v>
      </c>
      <c r="H5" s="23">
        <f>Raw_Data!L5/(Raw_Data!E5+Raw_Data!D5)</f>
        <v>0.36236605075531858</v>
      </c>
      <c r="I5" s="24">
        <f>(Raw_Data!D5+Raw_Data!E5)/(Raw_Data!F5+Raw_Data!G5)</f>
        <v>8.1107196413842857</v>
      </c>
    </row>
    <row r="6" spans="1:9" x14ac:dyDescent="0.25">
      <c r="A6" t="s">
        <v>12</v>
      </c>
      <c r="B6">
        <v>2022</v>
      </c>
      <c r="C6" s="15">
        <f>(Raw_Data!C6)/((Raw_Data!D6+Raw_Data!E6)/2)</f>
        <v>3.8503291494164274E-2</v>
      </c>
      <c r="D6" s="15">
        <f>(Raw_Data!C6)/((Raw_Data!F6+Raw_Data!G6)/2)</f>
        <v>0.33980938209235756</v>
      </c>
      <c r="E6" s="15">
        <f>(Raw_Data!H6)/((Raw_Data!D6+Raw_Data!E6)/2)</f>
        <v>4.5590934840234305E-2</v>
      </c>
      <c r="F6" s="15">
        <f>Raw_Data!I6/Raw_Data!J6</f>
        <v>0.30117530589071662</v>
      </c>
      <c r="G6" s="15">
        <f>Raw_Data!K6/Raw_Data!L6</f>
        <v>2.763274334469655E-2</v>
      </c>
      <c r="H6" s="23">
        <f>Raw_Data!L6/(Raw_Data!E6+Raw_Data!D6)</f>
        <v>0.3314507939040065</v>
      </c>
      <c r="I6" s="24">
        <f>(Raw_Data!D6+Raw_Data!E6)/(Raw_Data!F6+Raw_Data!G6)</f>
        <v>8.8254631982271068</v>
      </c>
    </row>
    <row r="7" spans="1:9" x14ac:dyDescent="0.25">
      <c r="A7" t="s">
        <v>12</v>
      </c>
      <c r="B7">
        <v>2023</v>
      </c>
      <c r="C7" s="15">
        <f>(Raw_Data!C7)/((Raw_Data!D7+Raw_Data!E7)/2)</f>
        <v>4.4634970989857491E-2</v>
      </c>
      <c r="D7" s="15">
        <f>(Raw_Data!C7)/((Raw_Data!F7+Raw_Data!G7)/2)</f>
        <v>0.32374107006101643</v>
      </c>
      <c r="E7" s="15">
        <f>(Raw_Data!H7)/((Raw_Data!D7+Raw_Data!E7)/2)</f>
        <v>5.3077945196787317E-2</v>
      </c>
      <c r="F7" s="15">
        <f>Raw_Data!I7/Raw_Data!J7</f>
        <v>0.28141707655839338</v>
      </c>
      <c r="G7" s="15">
        <f>Raw_Data!K7/Raw_Data!L7</f>
        <v>2.2148183195887423E-2</v>
      </c>
      <c r="H7" s="23">
        <f>Raw_Data!L7/(Raw_Data!E7+Raw_Data!D7)</f>
        <v>0.34322798041698249</v>
      </c>
      <c r="I7" s="24">
        <f>(Raw_Data!D7+Raw_Data!E7)/(Raw_Data!F7+Raw_Data!G7)</f>
        <v>7.2530812249117593</v>
      </c>
    </row>
    <row r="8" spans="1:9" x14ac:dyDescent="0.25">
      <c r="A8" t="s">
        <v>12</v>
      </c>
      <c r="B8">
        <v>2024</v>
      </c>
      <c r="C8" s="15">
        <f>(Raw_Data!C8)/((Raw_Data!D8+Raw_Data!E8)/2)</f>
        <v>5.2015563130616345E-2</v>
      </c>
      <c r="D8" s="15">
        <f>(Raw_Data!C8)/((Raw_Data!F8+Raw_Data!G8)/2)</f>
        <v>0.36457034471841843</v>
      </c>
      <c r="E8" s="15">
        <f>(Raw_Data!H8)/((Raw_Data!D8+Raw_Data!E8)/2)</f>
        <v>5.2152769500529612E-2</v>
      </c>
      <c r="F8" s="15">
        <f>Raw_Data!I8/Raw_Data!J8</f>
        <v>0.2897842066446647</v>
      </c>
      <c r="G8" s="15">
        <f>Raw_Data!K8/Raw_Data!L8</f>
        <v>2.3015685356968612E-2</v>
      </c>
      <c r="H8" s="23">
        <f>Raw_Data!L8/(Raw_Data!E8+Raw_Data!D8)</f>
        <v>0.34274342240431438</v>
      </c>
      <c r="I8" s="24">
        <f>(Raw_Data!D8+Raw_Data!E8)/(Raw_Data!F8+Raw_Data!G8)</f>
        <v>7.0088704759947582</v>
      </c>
    </row>
    <row r="9" spans="1:9" x14ac:dyDescent="0.25">
      <c r="A9" t="s">
        <v>20</v>
      </c>
      <c r="B9">
        <v>2018</v>
      </c>
      <c r="C9" s="15">
        <f>(Raw_Data!C9)/((Raw_Data!D9+Raw_Data!E9)/2)</f>
        <v>3.0524740220934873E-2</v>
      </c>
      <c r="D9" s="15">
        <f>(Raw_Data!C9)/((Raw_Data!F9+Raw_Data!G9)/2)</f>
        <v>0.21883180783203737</v>
      </c>
      <c r="E9" s="15">
        <f>(Raw_Data!H9)/((Raw_Data!D9+Raw_Data!E9)/2)</f>
        <v>5.428359745018032E-2</v>
      </c>
      <c r="F9" s="15">
        <f>Raw_Data!I9/Raw_Data!J9</f>
        <v>0.3713873794776984</v>
      </c>
      <c r="G9" s="15">
        <f>Raw_Data!K9/Raw_Data!L9</f>
        <v>3.0999995950863536E-2</v>
      </c>
      <c r="H9" s="23">
        <f>Raw_Data!L9/(Raw_Data!E9+Raw_Data!D9)</f>
        <v>0.36535930183515469</v>
      </c>
      <c r="I9" s="24">
        <f>(Raw_Data!D9+Raw_Data!E9)/(Raw_Data!F9+Raw_Data!G9)</f>
        <v>7.1689982043468898</v>
      </c>
    </row>
    <row r="10" spans="1:9" x14ac:dyDescent="0.25">
      <c r="A10" t="s">
        <v>20</v>
      </c>
      <c r="B10">
        <v>2019</v>
      </c>
      <c r="C10" s="15">
        <f>(Raw_Data!C10)/((Raw_Data!D10+Raw_Data!E10)/2)</f>
        <v>3.2327783469343417E-2</v>
      </c>
      <c r="D10" s="15">
        <f>(Raw_Data!C10)/((Raw_Data!F10+Raw_Data!G10)/2)</f>
        <v>0.23503343514662645</v>
      </c>
      <c r="E10" s="15">
        <f>(Raw_Data!H10)/((Raw_Data!D10+Raw_Data!E10)/2)</f>
        <v>4.6993578638265622E-2</v>
      </c>
      <c r="F10" s="15">
        <f>Raw_Data!I10/Raw_Data!J10</f>
        <v>0.37721121354436332</v>
      </c>
      <c r="G10" s="15">
        <f>Raw_Data!K10/Raw_Data!L10</f>
        <v>2.7000016980000322E-2</v>
      </c>
      <c r="H10" s="23">
        <f>Raw_Data!L10/(Raw_Data!E10+Raw_Data!D10)</f>
        <v>0.37506339695847446</v>
      </c>
      <c r="I10" s="24">
        <f>(Raw_Data!D10+Raw_Data!E10)/(Raw_Data!F10+Raw_Data!G10)</f>
        <v>7.2703232304655119</v>
      </c>
    </row>
    <row r="11" spans="1:9" x14ac:dyDescent="0.25">
      <c r="A11" t="s">
        <v>20</v>
      </c>
      <c r="B11">
        <v>2020</v>
      </c>
      <c r="C11" s="15">
        <f>(Raw_Data!C11)/((Raw_Data!D11+Raw_Data!E11)/2)</f>
        <v>1.6570701117635468E-2</v>
      </c>
      <c r="D11" s="15">
        <f>(Raw_Data!C11)/((Raw_Data!F11+Raw_Data!G11)/2)</f>
        <v>0.12579892537892423</v>
      </c>
      <c r="E11" s="15">
        <f>(Raw_Data!H11)/((Raw_Data!D11+Raw_Data!E11)/2)</f>
        <v>4.0667593976059305E-2</v>
      </c>
      <c r="F11" s="15">
        <f>Raw_Data!I11/Raw_Data!J11</f>
        <v>0.35092097935273614</v>
      </c>
      <c r="G11" s="15">
        <f>Raw_Data!K11/Raw_Data!L11</f>
        <v>4.6999986513614832E-2</v>
      </c>
      <c r="H11" s="23">
        <f>Raw_Data!L11/(Raw_Data!E11+Raw_Data!D11)</f>
        <v>0.37342583007047192</v>
      </c>
      <c r="I11" s="24">
        <f>(Raw_Data!D11+Raw_Data!E11)/(Raw_Data!F11+Raw_Data!G11)</f>
        <v>7.5916477212326248</v>
      </c>
    </row>
    <row r="12" spans="1:9" x14ac:dyDescent="0.25">
      <c r="A12" t="s">
        <v>20</v>
      </c>
      <c r="B12">
        <v>2021</v>
      </c>
      <c r="C12" s="15">
        <f>(Raw_Data!C12)/((Raw_Data!D12+Raw_Data!E12)/2)</f>
        <v>3.630373383931608E-2</v>
      </c>
      <c r="D12" s="15">
        <f>(Raw_Data!C12)/((Raw_Data!F12+Raw_Data!G12)/2)</f>
        <v>0.26259007653146654</v>
      </c>
      <c r="E12" s="15">
        <f>(Raw_Data!H12)/((Raw_Data!D12+Raw_Data!E12)/2)</f>
        <v>4.2886508286211128E-2</v>
      </c>
      <c r="F12" s="15">
        <f>Raw_Data!I12/Raw_Data!J12</f>
        <v>0.32548136214972662</v>
      </c>
      <c r="G12" s="15">
        <f>Raw_Data!K12/Raw_Data!L12</f>
        <v>2.3999983957111698E-2</v>
      </c>
      <c r="H12" s="23">
        <f>Raw_Data!L12/(Raw_Data!E12+Raw_Data!D12)</f>
        <v>0.36509711753232893</v>
      </c>
      <c r="I12" s="24">
        <f>(Raw_Data!D12+Raw_Data!E12)/(Raw_Data!F12+Raw_Data!G12)</f>
        <v>7.2331424005507587</v>
      </c>
    </row>
    <row r="13" spans="1:9" x14ac:dyDescent="0.25">
      <c r="A13" t="s">
        <v>20</v>
      </c>
      <c r="B13">
        <v>2022</v>
      </c>
      <c r="C13" s="15">
        <f>(Raw_Data!C13)/((Raw_Data!D13+Raw_Data!E13)/2)</f>
        <v>3.9072135738335331E-2</v>
      </c>
      <c r="D13" s="15">
        <f>(Raw_Data!C13)/((Raw_Data!F13+Raw_Data!G13)/2)</f>
        <v>0.26046171665293805</v>
      </c>
      <c r="E13" s="15">
        <f>(Raw_Data!H13)/((Raw_Data!D13+Raw_Data!E13)/2)</f>
        <v>4.7474893410205464E-2</v>
      </c>
      <c r="F13" s="15">
        <f>Raw_Data!I13/Raw_Data!J13</f>
        <v>0.28821679530659083</v>
      </c>
      <c r="G13" s="15">
        <f>Raw_Data!K13/Raw_Data!L13</f>
        <v>2.1999995968030064E-2</v>
      </c>
      <c r="H13" s="23">
        <f>Raw_Data!L13/(Raw_Data!E13+Raw_Data!D13)</f>
        <v>0.34099255273998375</v>
      </c>
      <c r="I13" s="24">
        <f>(Raw_Data!D13+Raw_Data!E13)/(Raw_Data!F13+Raw_Data!G13)</f>
        <v>6.6661755681143378</v>
      </c>
    </row>
    <row r="14" spans="1:9" x14ac:dyDescent="0.25">
      <c r="A14" t="s">
        <v>20</v>
      </c>
      <c r="B14">
        <v>2023</v>
      </c>
      <c r="C14" s="15">
        <f>(Raw_Data!C14)/((Raw_Data!D14+Raw_Data!E14)/2)</f>
        <v>3.7239776422506525E-2</v>
      </c>
      <c r="D14" s="15">
        <f>(Raw_Data!C14)/((Raw_Data!F14+Raw_Data!G14)/2)</f>
        <v>0.24830679188165411</v>
      </c>
      <c r="E14" s="15">
        <f>(Raw_Data!H14)/((Raw_Data!D14+Raw_Data!E14)/2)</f>
        <v>4.9770128678223176E-2</v>
      </c>
      <c r="F14" s="15">
        <f>Raw_Data!I14/Raw_Data!J14</f>
        <v>0.31975899952722936</v>
      </c>
      <c r="G14" s="15">
        <f>Raw_Data!K14/Raw_Data!L14</f>
        <v>2.000000093999323E-2</v>
      </c>
      <c r="H14" s="23">
        <f>Raw_Data!L14/(Raw_Data!E14+Raw_Data!D14)</f>
        <v>0.35402158590430044</v>
      </c>
      <c r="I14" s="24">
        <f>(Raw_Data!D14+Raw_Data!E14)/(Raw_Data!F14+Raw_Data!G14)</f>
        <v>6.6677841742246722</v>
      </c>
    </row>
    <row r="15" spans="1:9" x14ac:dyDescent="0.25">
      <c r="A15" t="s">
        <v>20</v>
      </c>
      <c r="B15">
        <v>2024</v>
      </c>
      <c r="C15" s="15">
        <f>(Raw_Data!C15)/((Raw_Data!D15+Raw_Data!E15)/2)</f>
        <v>3.5857124490320157E-2</v>
      </c>
      <c r="D15" s="15">
        <f>(Raw_Data!C15)/((Raw_Data!F15+Raw_Data!G15)/2)</f>
        <v>0.24400124753272176</v>
      </c>
      <c r="E15" s="15">
        <f>(Raw_Data!H15)/((Raw_Data!D15+Raw_Data!E15)/2)</f>
        <v>4.5832461547134808E-2</v>
      </c>
      <c r="F15" s="15">
        <f>Raw_Data!I15/Raw_Data!J15</f>
        <v>0.32834840102209223</v>
      </c>
      <c r="G15" s="15">
        <f>Raw_Data!K15/Raw_Data!L15</f>
        <v>2.2000001712916151E-2</v>
      </c>
      <c r="H15" s="23">
        <f>Raw_Data!L15/(Raw_Data!E15+Raw_Data!D15)</f>
        <v>0.35317371803065306</v>
      </c>
      <c r="I15" s="24">
        <f>(Raw_Data!D15+Raw_Data!E15)/(Raw_Data!F15+Raw_Data!G15)</f>
        <v>6.8048191538223133</v>
      </c>
    </row>
    <row r="16" spans="1:9" x14ac:dyDescent="0.25">
      <c r="A16" t="s">
        <v>28</v>
      </c>
      <c r="B16">
        <v>2018</v>
      </c>
      <c r="C16" s="15">
        <f>(Raw_Data!C16)/((Raw_Data!D16+Raw_Data!E16)/2)</f>
        <v>2.7961425948746132E-2</v>
      </c>
      <c r="D16" s="15">
        <f>(Raw_Data!C16)/((Raw_Data!F16+Raw_Data!G16)/2)</f>
        <v>0.16107985529938987</v>
      </c>
      <c r="E16" s="15">
        <f>(Raw_Data!H16)/((Raw_Data!D16+Raw_Data!E16)/2)</f>
        <v>4.1777183605390893E-2</v>
      </c>
      <c r="F16" s="15">
        <f>Raw_Data!I16/Raw_Data!J16</f>
        <v>0.3726849516452157</v>
      </c>
      <c r="G16" s="15">
        <f>Raw_Data!K16/Raw_Data!L16</f>
        <v>4.4373348929730015E-2</v>
      </c>
      <c r="H16" s="23">
        <f>Raw_Data!L16/(Raw_Data!E16+Raw_Data!D16)</f>
        <v>0.34357605883506304</v>
      </c>
      <c r="I16" s="24">
        <f>(Raw_Data!D16+Raw_Data!E16)/(Raw_Data!F16+Raw_Data!G16)</f>
        <v>5.7607882943685542</v>
      </c>
    </row>
    <row r="17" spans="1:9" x14ac:dyDescent="0.25">
      <c r="A17" t="s">
        <v>28</v>
      </c>
      <c r="B17">
        <v>2019</v>
      </c>
      <c r="C17" s="15">
        <f>(Raw_Data!C17)/((Raw_Data!D17+Raw_Data!E17)/2)</f>
        <v>2.3800156980165792E-2</v>
      </c>
      <c r="D17" s="15">
        <f>(Raw_Data!C17)/((Raw_Data!F17+Raw_Data!G17)/2)</f>
        <v>0.14001860562820254</v>
      </c>
      <c r="E17" s="15">
        <f>(Raw_Data!H17)/((Raw_Data!D17+Raw_Data!E17)/2)</f>
        <v>3.7897766507624886E-2</v>
      </c>
      <c r="F17" s="15">
        <f>Raw_Data!I17/Raw_Data!J17</f>
        <v>0.4384054054054054</v>
      </c>
      <c r="G17" s="15">
        <f>Raw_Data!K17/Raw_Data!L17</f>
        <v>5.3545029182480719E-2</v>
      </c>
      <c r="H17" s="23">
        <f>Raw_Data!L17/(Raw_Data!E17+Raw_Data!D17)</f>
        <v>0.31894295345876017</v>
      </c>
      <c r="I17" s="24">
        <f>(Raw_Data!D17+Raw_Data!E17)/(Raw_Data!F17+Raw_Data!G17)</f>
        <v>5.8830958865056679</v>
      </c>
    </row>
    <row r="18" spans="1:9" x14ac:dyDescent="0.25">
      <c r="A18" t="s">
        <v>28</v>
      </c>
      <c r="B18">
        <v>2020</v>
      </c>
      <c r="C18" s="15">
        <f>(Raw_Data!C18)/((Raw_Data!D18+Raw_Data!E18)/2)</f>
        <v>1.2850529890042843E-2</v>
      </c>
      <c r="D18" s="15">
        <f>(Raw_Data!C18)/((Raw_Data!F18+Raw_Data!G18)/2)</f>
        <v>8.1754786271703614E-2</v>
      </c>
      <c r="E18" s="15">
        <f>(Raw_Data!H18)/((Raw_Data!D18+Raw_Data!E18)/2)</f>
        <v>2.8858912631146129E-2</v>
      </c>
      <c r="F18" s="15">
        <f>Raw_Data!I18/Raw_Data!J18</f>
        <v>0.46910665684254843</v>
      </c>
      <c r="G18" s="15">
        <f>Raw_Data!K18/Raw_Data!L18</f>
        <v>7.5323385252942382E-2</v>
      </c>
      <c r="H18" s="23">
        <f>Raw_Data!L18/(Raw_Data!E18+Raw_Data!D18)</f>
        <v>0.29215391349329511</v>
      </c>
      <c r="I18" s="24">
        <f>(Raw_Data!D18+Raw_Data!E18)/(Raw_Data!F18+Raw_Data!G18)</f>
        <v>6.3619778305835339</v>
      </c>
    </row>
    <row r="19" spans="1:9" x14ac:dyDescent="0.25">
      <c r="A19" t="s">
        <v>28</v>
      </c>
      <c r="B19">
        <v>2021</v>
      </c>
      <c r="C19" s="15">
        <f>(Raw_Data!C19)/((Raw_Data!D19+Raw_Data!E19)/2)</f>
        <v>1.9298209634749083E-2</v>
      </c>
      <c r="D19" s="15">
        <f>(Raw_Data!C19)/((Raw_Data!F19+Raw_Data!G19)/2)</f>
        <v>0.11685988838322266</v>
      </c>
      <c r="E19" s="15">
        <f>(Raw_Data!H19)/((Raw_Data!D19+Raw_Data!E19)/2)</f>
        <v>3.3972572042530992E-2</v>
      </c>
      <c r="F19" s="15">
        <f>Raw_Data!I19/Raw_Data!J19</f>
        <v>0.49914505038745588</v>
      </c>
      <c r="G19" s="15">
        <f>Raw_Data!K19/Raw_Data!L19</f>
        <v>4.7427451023850667E-2</v>
      </c>
      <c r="H19" s="23">
        <f>Raw_Data!L19/(Raw_Data!E19+Raw_Data!D19)</f>
        <v>0.31595597441177753</v>
      </c>
      <c r="I19" s="24">
        <f>(Raw_Data!D19+Raw_Data!E19)/(Raw_Data!F19+Raw_Data!G19)</f>
        <v>6.0554782332139423</v>
      </c>
    </row>
    <row r="20" spans="1:9" x14ac:dyDescent="0.25">
      <c r="A20" t="s">
        <v>28</v>
      </c>
      <c r="B20">
        <v>2022</v>
      </c>
      <c r="C20" s="15">
        <f>(Raw_Data!C20)/((Raw_Data!D20+Raw_Data!E20)/2)</f>
        <v>2.8927202503894023E-2</v>
      </c>
      <c r="D20" s="15">
        <f>(Raw_Data!C20)/((Raw_Data!F20+Raw_Data!G20)/2)</f>
        <v>0.18378441428551928</v>
      </c>
      <c r="E20" s="15">
        <f>(Raw_Data!H20)/((Raw_Data!D20+Raw_Data!E20)/2)</f>
        <v>4.915640060351268E-2</v>
      </c>
      <c r="F20" s="15">
        <f>Raw_Data!I20/Raw_Data!J20</f>
        <v>0.47664688074243483</v>
      </c>
      <c r="G20" s="15">
        <f>Raw_Data!K20/Raw_Data!L20</f>
        <v>3.9117665084221591E-2</v>
      </c>
      <c r="H20" s="23">
        <f>Raw_Data!L20/(Raw_Data!E20+Raw_Data!D20)</f>
        <v>0.41429289896045429</v>
      </c>
      <c r="I20" s="24">
        <f>(Raw_Data!D20+Raw_Data!E20)/(Raw_Data!F20+Raw_Data!G20)</f>
        <v>6.3533421270438861</v>
      </c>
    </row>
    <row r="21" spans="1:9" x14ac:dyDescent="0.25">
      <c r="A21" t="s">
        <v>28</v>
      </c>
      <c r="B21">
        <v>2023</v>
      </c>
      <c r="C21" s="15">
        <f>(Raw_Data!C21)/((Raw_Data!D21+Raw_Data!E21)/2)</f>
        <v>2.26263652407706E-2</v>
      </c>
      <c r="D21" s="15">
        <f>(Raw_Data!C21)/((Raw_Data!F21+Raw_Data!G21)/2)</f>
        <v>0.1577738263923589</v>
      </c>
      <c r="E21" s="15">
        <f>(Raw_Data!H21)/((Raw_Data!D21+Raw_Data!E21)/2)</f>
        <v>4.020391833260889E-2</v>
      </c>
      <c r="F21" s="15">
        <f>Raw_Data!I21/Raw_Data!J21</f>
        <v>0.47628706766397361</v>
      </c>
      <c r="G21" s="15">
        <f>Raw_Data!K21/Raw_Data!L21</f>
        <v>3.7015405410966602E-2</v>
      </c>
      <c r="H21" s="23">
        <f>Raw_Data!L21/(Raw_Data!E21+Raw_Data!D21)</f>
        <v>0.37185755145559468</v>
      </c>
      <c r="I21" s="24">
        <f>(Raw_Data!D21+Raw_Data!E21)/(Raw_Data!F21+Raw_Data!G21)</f>
        <v>6.9730080246413229</v>
      </c>
    </row>
    <row r="22" spans="1:9" x14ac:dyDescent="0.25">
      <c r="A22" t="s">
        <v>28</v>
      </c>
      <c r="B22">
        <v>2024</v>
      </c>
      <c r="C22" s="15">
        <f>(Raw_Data!C22)/((Raw_Data!D22+Raw_Data!E22)/2)</f>
        <v>2.2786899624440887E-2</v>
      </c>
      <c r="D22" s="15">
        <f>(Raw_Data!C22)/((Raw_Data!F22+Raw_Data!G22)/2)</f>
        <v>0.15162362833193715</v>
      </c>
      <c r="E22" s="15">
        <f>(Raw_Data!H22)/((Raw_Data!D22+Raw_Data!E22)/2)</f>
        <v>4.0906320306556949E-2</v>
      </c>
      <c r="F22" s="15">
        <f>Raw_Data!I22/Raw_Data!J22</f>
        <v>0.49179297887379253</v>
      </c>
      <c r="G22" s="15">
        <f>Raw_Data!K22/Raw_Data!L22</f>
        <v>3.320656071139625E-2</v>
      </c>
      <c r="H22" s="23">
        <f>Raw_Data!L22/(Raw_Data!E22+Raw_Data!D22)</f>
        <v>0.38547545298877517</v>
      </c>
      <c r="I22" s="24">
        <f>(Raw_Data!D22+Raw_Data!E22)/(Raw_Data!F22+Raw_Data!G22)</f>
        <v>6.6539823684178581</v>
      </c>
    </row>
    <row r="23" spans="1:9" x14ac:dyDescent="0.25">
      <c r="A23" t="s">
        <v>29</v>
      </c>
      <c r="B23">
        <v>2018</v>
      </c>
      <c r="C23" s="15">
        <f>(Raw_Data!C23)/((Raw_Data!D23+Raw_Data!E23)/2)</f>
        <v>2.9024340282394714E-2</v>
      </c>
      <c r="D23" s="15">
        <f>(Raw_Data!C23)/((Raw_Data!F23+Raw_Data!G23)/2)</f>
        <v>0.16156225119725381</v>
      </c>
      <c r="E23" s="15">
        <f>(Raw_Data!H23)/((Raw_Data!D23+Raw_Data!E23)/2)</f>
        <v>0.14543076154573192</v>
      </c>
      <c r="F23" s="15">
        <f>Raw_Data!I23/Raw_Data!J23</f>
        <v>0.67948706966704076</v>
      </c>
      <c r="G23" s="15">
        <f>Raw_Data!K23/Raw_Data!L23</f>
        <v>4.5295676888903718E-3</v>
      </c>
      <c r="H23" s="23">
        <f>Raw_Data!L23/(Raw_Data!E23+Raw_Data!D23)</f>
        <v>0.49539392589025488</v>
      </c>
      <c r="I23" s="24">
        <f>(Raw_Data!D23+Raw_Data!E23)/(Raw_Data!F23+Raw_Data!G23)</f>
        <v>5.5664400852980833</v>
      </c>
    </row>
    <row r="24" spans="1:9" x14ac:dyDescent="0.25">
      <c r="A24" t="s">
        <v>29</v>
      </c>
      <c r="B24">
        <v>2019</v>
      </c>
      <c r="C24" s="15">
        <f>(Raw_Data!C24)/((Raw_Data!D24+Raw_Data!E24)/2)</f>
        <v>3.3062559636903945E-2</v>
      </c>
      <c r="D24" s="15">
        <f>(Raw_Data!C24)/((Raw_Data!F24+Raw_Data!G24)/2)</f>
        <v>0.20937394786738256</v>
      </c>
      <c r="E24" s="15">
        <f>(Raw_Data!H24)/((Raw_Data!D24+Raw_Data!E24)/2)</f>
        <v>0.13488727400936282</v>
      </c>
      <c r="F24" s="15">
        <f>Raw_Data!I24/Raw_Data!J24</f>
        <v>0.63086820405911725</v>
      </c>
      <c r="G24" s="15">
        <f>Raw_Data!K24/Raw_Data!L24</f>
        <v>4.4341415899075108E-3</v>
      </c>
      <c r="H24" s="23">
        <f>Raw_Data!L24/(Raw_Data!E24+Raw_Data!D24)</f>
        <v>0.47342173819364192</v>
      </c>
      <c r="I24" s="24">
        <f>(Raw_Data!D24+Raw_Data!E24)/(Raw_Data!F24+Raw_Data!G24)</f>
        <v>6.3326599684581719</v>
      </c>
    </row>
    <row r="25" spans="1:9" x14ac:dyDescent="0.25">
      <c r="A25" t="s">
        <v>29</v>
      </c>
      <c r="B25">
        <v>2020</v>
      </c>
      <c r="C25" s="15">
        <f>(Raw_Data!C25)/((Raw_Data!D25+Raw_Data!E25)/2)</f>
        <v>9.1995275689286757E-3</v>
      </c>
      <c r="D25" s="15">
        <f>(Raw_Data!C25)/((Raw_Data!F25+Raw_Data!G25)/2)</f>
        <v>6.8650695801167144E-2</v>
      </c>
      <c r="E25" s="15">
        <f>(Raw_Data!H25)/((Raw_Data!D25+Raw_Data!E25)/2)</f>
        <v>0.10641391265447632</v>
      </c>
      <c r="F25" s="15">
        <f>Raw_Data!I25/Raw_Data!J25</f>
        <v>0.66233793479629088</v>
      </c>
      <c r="G25" s="15">
        <f>Raw_Data!K25/Raw_Data!L25</f>
        <v>1.1491233154886229E-2</v>
      </c>
      <c r="H25" s="23">
        <f>Raw_Data!L25/(Raw_Data!E25+Raw_Data!D25)</f>
        <v>0.45311274123553941</v>
      </c>
      <c r="I25" s="24">
        <f>(Raw_Data!D25+Raw_Data!E25)/(Raw_Data!F25+Raw_Data!G25)</f>
        <v>7.4624153563096298</v>
      </c>
    </row>
    <row r="26" spans="1:9" x14ac:dyDescent="0.25">
      <c r="A26" t="s">
        <v>29</v>
      </c>
      <c r="B26">
        <v>2021</v>
      </c>
      <c r="C26" s="15">
        <f>(Raw_Data!C26)/((Raw_Data!D26+Raw_Data!E26)/2)</f>
        <v>2.3643813770991857E-2</v>
      </c>
      <c r="D26" s="15">
        <f>(Raw_Data!C26)/((Raw_Data!F26+Raw_Data!G26)/2)</f>
        <v>0.18925167998886452</v>
      </c>
      <c r="E26" s="15">
        <f>(Raw_Data!H26)/((Raw_Data!D26+Raw_Data!E26)/2)</f>
        <v>0.12245189762376774</v>
      </c>
      <c r="F26" s="15">
        <f>Raw_Data!I26/Raw_Data!J26</f>
        <v>0.587751247807905</v>
      </c>
      <c r="G26" s="15">
        <f>Raw_Data!K26/Raw_Data!L26</f>
        <v>1.6477374697275123E-2</v>
      </c>
      <c r="H26" s="23">
        <f>Raw_Data!L26/(Raw_Data!E26+Raw_Data!D26)</f>
        <v>0.47910346728703501</v>
      </c>
      <c r="I26" s="24">
        <f>(Raw_Data!D26+Raw_Data!E26)/(Raw_Data!F26+Raw_Data!G26)</f>
        <v>8.0042789129498981</v>
      </c>
    </row>
    <row r="27" spans="1:9" x14ac:dyDescent="0.25">
      <c r="A27" t="s">
        <v>29</v>
      </c>
      <c r="B27">
        <v>2022</v>
      </c>
      <c r="C27" s="15">
        <f>(Raw_Data!C27)/((Raw_Data!D27+Raw_Data!E27)/2)</f>
        <v>2.2934850182330817E-2</v>
      </c>
      <c r="D27" s="15">
        <f>(Raw_Data!C27)/((Raw_Data!F27+Raw_Data!G27)/2)</f>
        <v>0.1849828052854568</v>
      </c>
      <c r="E27" s="15">
        <f>(Raw_Data!H27)/((Raw_Data!D27+Raw_Data!E27)/2)</f>
        <v>0.11160771468480243</v>
      </c>
      <c r="F27" s="15">
        <f>Raw_Data!I27/Raw_Data!J27</f>
        <v>0.58438311453400971</v>
      </c>
      <c r="G27" s="15">
        <f>Raw_Data!K27/Raw_Data!L27</f>
        <v>9.7720632905248864E-3</v>
      </c>
      <c r="H27" s="23">
        <f>Raw_Data!L27/(Raw_Data!E27+Raw_Data!D27)</f>
        <v>0.45466890920338793</v>
      </c>
      <c r="I27" s="24">
        <f>(Raw_Data!D27+Raw_Data!E27)/(Raw_Data!F27+Raw_Data!G27)</f>
        <v>8.0655772248283082</v>
      </c>
    </row>
    <row r="28" spans="1:9" x14ac:dyDescent="0.25">
      <c r="A28" t="s">
        <v>29</v>
      </c>
      <c r="B28">
        <v>2023</v>
      </c>
      <c r="C28" s="15">
        <f>(Raw_Data!C28)/((Raw_Data!D28+Raw_Data!E28)/2)</f>
        <v>1.7637756728815141E-2</v>
      </c>
      <c r="D28" s="15">
        <f>(Raw_Data!C28)/((Raw_Data!F28+Raw_Data!G28)/2)</f>
        <v>0.14375715320726187</v>
      </c>
      <c r="E28" s="15">
        <f>(Raw_Data!H28)/((Raw_Data!D28+Raw_Data!E28)/2)</f>
        <v>0.10901716517495295</v>
      </c>
      <c r="F28" s="15">
        <f>Raw_Data!I28/Raw_Data!J28</f>
        <v>0.61014925373134332</v>
      </c>
      <c r="G28" s="15">
        <f>Raw_Data!K28/Raw_Data!L28</f>
        <v>9.7530937963094186E-3</v>
      </c>
      <c r="H28" s="23">
        <f>Raw_Data!L28/(Raw_Data!E28+Raw_Data!D28)</f>
        <v>0.43481409672145049</v>
      </c>
      <c r="I28" s="24">
        <f>(Raw_Data!D28+Raw_Data!E28)/(Raw_Data!F28+Raw_Data!G28)</f>
        <v>8.1505349811522834</v>
      </c>
    </row>
    <row r="29" spans="1:9" x14ac:dyDescent="0.25">
      <c r="A29" t="s">
        <v>29</v>
      </c>
      <c r="B29">
        <v>2024</v>
      </c>
      <c r="C29" s="15">
        <f>(Raw_Data!C29)/((Raw_Data!D29+Raw_Data!E29)/2)</f>
        <v>2.4772791202616915E-2</v>
      </c>
      <c r="D29" s="15">
        <f>(Raw_Data!C29)/((Raw_Data!F29+Raw_Data!G29)/2)</f>
        <v>0.20044585726723971</v>
      </c>
      <c r="E29" s="15">
        <f>(Raw_Data!H29)/((Raw_Data!D29+Raw_Data!E29)/2)</f>
        <v>0.10921224293331802</v>
      </c>
      <c r="F29" s="15">
        <f>Raw_Data!I29/Raw_Data!J29</f>
        <v>0.56570133226329045</v>
      </c>
      <c r="G29" s="15">
        <f>Raw_Data!K29/Raw_Data!L29</f>
        <v>8.0391131961413832E-3</v>
      </c>
      <c r="H29" s="23">
        <f>Raw_Data!L29/(Raw_Data!E29+Raw_Data!D29)</f>
        <v>0.45905204398547106</v>
      </c>
      <c r="I29" s="24">
        <f>(Raw_Data!D29+Raw_Data!E29)/(Raw_Data!F29+Raw_Data!G29)</f>
        <v>8.0913715224009675</v>
      </c>
    </row>
    <row r="30" spans="1:9" x14ac:dyDescent="0.25">
      <c r="A30" t="s">
        <v>30</v>
      </c>
      <c r="B30">
        <v>2018</v>
      </c>
      <c r="C30" s="15">
        <f>(Raw_Data!C30)/((Raw_Data!D30+Raw_Data!E30)/2)</f>
        <v>1.6608555109939464E-2</v>
      </c>
      <c r="D30" s="15">
        <f>(Raw_Data!C30)/((Raw_Data!F30+Raw_Data!G30)/2)</f>
        <v>0.11162033595033022</v>
      </c>
      <c r="E30" s="15">
        <f>(Raw_Data!H30)/((Raw_Data!D30+Raw_Data!E30)/2)</f>
        <v>4.1698572813035892E-2</v>
      </c>
      <c r="F30" s="15">
        <f>Raw_Data!I30/Raw_Data!J30</f>
        <v>0.61266357619872447</v>
      </c>
      <c r="G30" s="15">
        <f>Raw_Data!K30/Raw_Data!L30</f>
        <v>3.2177288093151374E-2</v>
      </c>
      <c r="H30" s="23">
        <f>Raw_Data!L30/(Raw_Data!E30+Raw_Data!D30)</f>
        <v>0.34702598765251397</v>
      </c>
      <c r="I30" s="24">
        <f>(Raw_Data!D30+Raw_Data!E30)/(Raw_Data!F30+Raw_Data!G30)</f>
        <v>6.7206530135502591</v>
      </c>
    </row>
    <row r="31" spans="1:9" x14ac:dyDescent="0.25">
      <c r="A31" t="s">
        <v>30</v>
      </c>
      <c r="B31">
        <v>2019</v>
      </c>
      <c r="C31" s="15">
        <f>(Raw_Data!C31)/((Raw_Data!D31+Raw_Data!E31)/2)</f>
        <v>1.7819168526635329E-2</v>
      </c>
      <c r="D31" s="15">
        <f>(Raw_Data!C31)/((Raw_Data!F31+Raw_Data!G31)/2)</f>
        <v>0.11047436590015909</v>
      </c>
      <c r="E31" s="15">
        <f>(Raw_Data!H31)/((Raw_Data!D31+Raw_Data!E31)/2)</f>
        <v>3.8587737321920598E-2</v>
      </c>
      <c r="F31" s="15">
        <f>Raw_Data!I31/Raw_Data!J31</f>
        <v>0.65468674113647407</v>
      </c>
      <c r="G31" s="15">
        <f>Raw_Data!K31/Raw_Data!L31</f>
        <v>3.9430533975510537E-2</v>
      </c>
      <c r="H31" s="23">
        <f>Raw_Data!L31/(Raw_Data!E31+Raw_Data!D31)</f>
        <v>0.35536410570890109</v>
      </c>
      <c r="I31" s="24">
        <f>(Raw_Data!D31+Raw_Data!E31)/(Raw_Data!F31+Raw_Data!G31)</f>
        <v>6.1997486434356768</v>
      </c>
    </row>
    <row r="32" spans="1:9" x14ac:dyDescent="0.25">
      <c r="A32" t="s">
        <v>30</v>
      </c>
      <c r="B32">
        <v>2020</v>
      </c>
      <c r="C32" s="15">
        <f>(Raw_Data!C32)/((Raw_Data!D32+Raw_Data!E32)/2)</f>
        <v>1.3977967721537367E-2</v>
      </c>
      <c r="D32" s="15">
        <f>(Raw_Data!C32)/((Raw_Data!F32+Raw_Data!G32)/2)</f>
        <v>9.0157710181807141E-2</v>
      </c>
      <c r="E32" s="15">
        <f>(Raw_Data!H32)/((Raw_Data!D32+Raw_Data!E32)/2)</f>
        <v>3.669569717298559E-2</v>
      </c>
      <c r="F32" s="15">
        <f>Raw_Data!I32/Raw_Data!J32</f>
        <v>0.8240418118466899</v>
      </c>
      <c r="G32" s="15">
        <f>Raw_Data!K32/Raw_Data!L32</f>
        <v>2.8643281820611027E-2</v>
      </c>
      <c r="H32" s="23">
        <f>Raw_Data!L32/(Raw_Data!E32+Raw_Data!D32)</f>
        <v>0.37596620465002628</v>
      </c>
      <c r="I32" s="24">
        <f>(Raw_Data!D32+Raw_Data!E32)/(Raw_Data!F32+Raw_Data!G32)</f>
        <v>6.4499870065439771</v>
      </c>
    </row>
    <row r="33" spans="1:9" x14ac:dyDescent="0.25">
      <c r="A33" t="s">
        <v>30</v>
      </c>
      <c r="B33">
        <v>2021</v>
      </c>
      <c r="C33" s="15">
        <f>(Raw_Data!C33)/((Raw_Data!D33+Raw_Data!E33)/2)</f>
        <v>1.5594358599145396E-2</v>
      </c>
      <c r="D33" s="15">
        <f>(Raw_Data!C33)/((Raw_Data!F33+Raw_Data!G33)/2)</f>
        <v>9.515332434841875E-2</v>
      </c>
      <c r="E33" s="15">
        <f>(Raw_Data!H33)/((Raw_Data!D33+Raw_Data!E33)/2)</f>
        <v>4.0806805645070658E-2</v>
      </c>
      <c r="F33" s="15">
        <f>Raw_Data!I33/Raw_Data!J33</f>
        <v>0.58261710820686019</v>
      </c>
      <c r="G33" s="15">
        <f>Raw_Data!K33/Raw_Data!L33</f>
        <v>2.6309514246480203E-2</v>
      </c>
      <c r="H33" s="23">
        <f>Raw_Data!L33/(Raw_Data!E33+Raw_Data!D33)</f>
        <v>0.3626191825060609</v>
      </c>
      <c r="I33" s="24">
        <f>(Raw_Data!D33+Raw_Data!E33)/(Raw_Data!F33+Raw_Data!G33)</f>
        <v>6.1017786492118606</v>
      </c>
    </row>
    <row r="34" spans="1:9" x14ac:dyDescent="0.25">
      <c r="A34" t="s">
        <v>30</v>
      </c>
      <c r="B34">
        <v>2022</v>
      </c>
      <c r="C34" s="15">
        <f>(Raw_Data!C34)/((Raw_Data!D34+Raw_Data!E34)/2)</f>
        <v>-6.1564123032468845E-2</v>
      </c>
      <c r="D34" s="15">
        <f>(Raw_Data!C34)/((Raw_Data!F34+Raw_Data!G34)/2)</f>
        <v>-0.23004593375463364</v>
      </c>
      <c r="E34" s="15">
        <f>(Raw_Data!H34)/((Raw_Data!D34+Raw_Data!E34)/2)</f>
        <v>2.3925149366415276E-2</v>
      </c>
      <c r="F34" s="15">
        <f>Raw_Data!I34/Raw_Data!J34</f>
        <v>-0.61455105303673296</v>
      </c>
      <c r="G34" s="15">
        <f>Raw_Data!K34/Raw_Data!L34</f>
        <v>0.18244778541033663</v>
      </c>
      <c r="H34" s="23">
        <f>Raw_Data!L34/(Raw_Data!E34+Raw_Data!D34)</f>
        <v>9.8082134859481931E-2</v>
      </c>
      <c r="I34" s="24">
        <f>(Raw_Data!D34+Raw_Data!E34)/(Raw_Data!F34+Raw_Data!G34)</f>
        <v>3.7366882272213591</v>
      </c>
    </row>
    <row r="35" spans="1:9" x14ac:dyDescent="0.25">
      <c r="A35" t="s">
        <v>30</v>
      </c>
      <c r="B35">
        <v>2023</v>
      </c>
      <c r="C35" s="15">
        <f>(Raw_Data!C35)/((Raw_Data!D35+Raw_Data!E35)/2)</f>
        <v>8.5170442023947798E-4</v>
      </c>
      <c r="D35" s="15">
        <f>(Raw_Data!C35)/((Raw_Data!F35+Raw_Data!G35)/2)</f>
        <v>1.2455510473527369E-3</v>
      </c>
      <c r="E35" s="15">
        <f>(Raw_Data!H35)/((Raw_Data!D35+Raw_Data!E35)/2)</f>
        <v>2.4588706612313729E-2</v>
      </c>
      <c r="F35" s="15">
        <f>Raw_Data!I35/Raw_Data!J35</f>
        <v>0.88861966546818816</v>
      </c>
      <c r="G35" s="15">
        <f>Raw_Data!K35/Raw_Data!L35</f>
        <v>0.25560925997214973</v>
      </c>
      <c r="H35" s="23">
        <f>Raw_Data!L35/(Raw_Data!E35+Raw_Data!D35)</f>
        <v>0.224009973458761</v>
      </c>
      <c r="I35" s="24">
        <f>(Raw_Data!D35+Raw_Data!E35)/(Raw_Data!F35+Raw_Data!G35)</f>
        <v>1.462421724901368</v>
      </c>
    </row>
    <row r="36" spans="1:9" x14ac:dyDescent="0.25">
      <c r="A36" t="s">
        <v>30</v>
      </c>
      <c r="B36">
        <v>2024</v>
      </c>
      <c r="C36" s="15">
        <f>(Raw_Data!C36)/((Raw_Data!D36+Raw_Data!E36)/2)</f>
        <v>1.8616862317124193E-2</v>
      </c>
      <c r="D36" s="15">
        <f>(Raw_Data!C36)/((Raw_Data!F36+Raw_Data!G36)/2)</f>
        <v>2.5800593014819236E-2</v>
      </c>
      <c r="E36" s="15">
        <f>(Raw_Data!H36)/((Raw_Data!D36+Raw_Data!E36)/2)</f>
        <v>1.6710902928890669E-2</v>
      </c>
      <c r="F36" s="15">
        <f>Raw_Data!I36/Raw_Data!J36</f>
        <v>0.46653294943547602</v>
      </c>
      <c r="G36" s="15">
        <f>Raw_Data!K36/Raw_Data!L36</f>
        <v>0.58546942794719514</v>
      </c>
      <c r="H36" s="23">
        <f>Raw_Data!L36/(Raw_Data!E36+Raw_Data!D36)</f>
        <v>0.21581171511994704</v>
      </c>
      <c r="I36" s="24">
        <f>(Raw_Data!D36+Raw_Data!E36)/(Raw_Data!F36+Raw_Data!G36)</f>
        <v>1.3858722579200304</v>
      </c>
    </row>
    <row r="37" spans="1:9" x14ac:dyDescent="0.25">
      <c r="C37" s="9"/>
      <c r="D37" s="9"/>
      <c r="E37" s="11"/>
    </row>
    <row r="38" spans="1:9" ht="45" x14ac:dyDescent="0.25">
      <c r="C38" s="12" t="s">
        <v>60</v>
      </c>
      <c r="D38" s="12" t="s">
        <v>61</v>
      </c>
      <c r="E38" s="13" t="s">
        <v>62</v>
      </c>
      <c r="F38" s="14" t="s">
        <v>63</v>
      </c>
      <c r="G38" s="14" t="s">
        <v>64</v>
      </c>
      <c r="H38" s="14" t="s">
        <v>73</v>
      </c>
      <c r="I38" s="14" t="s">
        <v>80</v>
      </c>
    </row>
    <row r="40" spans="1:9" ht="75" x14ac:dyDescent="0.25">
      <c r="C40" s="10" t="s">
        <v>57</v>
      </c>
      <c r="D40" s="10" t="s">
        <v>58</v>
      </c>
      <c r="E40" s="10" t="s">
        <v>59</v>
      </c>
      <c r="F40" s="10" t="s">
        <v>65</v>
      </c>
      <c r="G40" s="10" t="s">
        <v>66</v>
      </c>
      <c r="H40" s="10" t="s">
        <v>74</v>
      </c>
      <c r="I40" s="10" t="s">
        <v>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109CE-2C9D-46FC-BEA2-211F5C54E08D}">
  <dimension ref="A1:H8"/>
  <sheetViews>
    <sheetView zoomScale="85" workbookViewId="0">
      <selection activeCell="E6" sqref="E6"/>
    </sheetView>
  </sheetViews>
  <sheetFormatPr defaultRowHeight="15" x14ac:dyDescent="0.25"/>
  <cols>
    <col min="3" max="3" width="8.85546875" bestFit="1" customWidth="1"/>
    <col min="7" max="7" width="18.42578125" bestFit="1" customWidth="1"/>
    <col min="8" max="8" width="25.28515625" bestFit="1" customWidth="1"/>
  </cols>
  <sheetData>
    <row r="1" spans="1:8" x14ac:dyDescent="0.25">
      <c r="A1" s="1" t="s">
        <v>1</v>
      </c>
      <c r="B1" s="1" t="s">
        <v>67</v>
      </c>
      <c r="C1" s="1" t="s">
        <v>68</v>
      </c>
      <c r="D1" s="1" t="s">
        <v>69</v>
      </c>
      <c r="E1" s="1" t="s">
        <v>70</v>
      </c>
      <c r="F1" s="1" t="s">
        <v>71</v>
      </c>
      <c r="G1" s="1" t="s">
        <v>79</v>
      </c>
      <c r="H1" s="1" t="s">
        <v>82</v>
      </c>
    </row>
    <row r="2" spans="1:8" x14ac:dyDescent="0.25">
      <c r="A2">
        <v>2018</v>
      </c>
      <c r="B2" s="15">
        <f>AVERAGEIFS(Calculated_Ratios!C:C, Calculated_Ratios!B:B, A2)</f>
        <v>2.588606054916933E-2</v>
      </c>
      <c r="C2" s="15">
        <f>AVERAGEIFS(Calculated_Ratios!D:D, Calculated_Ratios!B:B, A2)</f>
        <v>0.17338681354850852</v>
      </c>
      <c r="D2" s="15">
        <f>AVERAGEIFS(Calculated_Ratios!E:E, Calculated_Ratios!B:B, A2)</f>
        <v>6.7418097266389851E-2</v>
      </c>
      <c r="E2" s="15">
        <f>AVERAGEIFS(Calculated_Ratios!F:F, Calculated_Ratios!B:B, A2)</f>
        <v>0.47914859191286024</v>
      </c>
      <c r="F2" s="15">
        <f>AVERAGEIFS(Calculated_Ratios!G:G, Calculated_Ratios!B:B, A2)</f>
        <v>2.9540774191859197E-2</v>
      </c>
      <c r="G2" s="22">
        <f>AVERAGEIFS(Calculated_Ratios!H:H, Calculated_Ratios!B:B, A2)</f>
        <v>0.37976000064459486</v>
      </c>
      <c r="H2" s="24">
        <f>AVERAGEIFS(Calculated_Ratios!I:I, Calculated_Ratios!B:B, A2)</f>
        <v>6.7330585068694742</v>
      </c>
    </row>
    <row r="3" spans="1:8" x14ac:dyDescent="0.25">
      <c r="A3">
        <v>2019</v>
      </c>
      <c r="B3" s="15">
        <f>AVERAGEIFS(Calculated_Ratios!C:C, Calculated_Ratios!B:B, A3)</f>
        <v>2.7647739631920222E-2</v>
      </c>
      <c r="C3" s="15">
        <f>AVERAGEIFS(Calculated_Ratios!D:D, Calculated_Ratios!B:B, A3)</f>
        <v>0.19284874365376911</v>
      </c>
      <c r="D3" s="15">
        <f>AVERAGEIFS(Calculated_Ratios!E:E, Calculated_Ratios!B:B, A3)</f>
        <v>6.1215421659503631E-2</v>
      </c>
      <c r="E3" s="15">
        <f>AVERAGEIFS(Calculated_Ratios!F:F, Calculated_Ratios!B:B, A3)</f>
        <v>0.49458332180430276</v>
      </c>
      <c r="F3" s="15">
        <f>AVERAGEIFS(Calculated_Ratios!G:G, Calculated_Ratios!B:B, A3)</f>
        <v>2.9268536576877134E-2</v>
      </c>
      <c r="G3" s="22">
        <f>AVERAGEIFS(Calculated_Ratios!H:H, Calculated_Ratios!B:B, A3)</f>
        <v>0.37657148366191306</v>
      </c>
      <c r="H3" s="24">
        <f>AVERAGEIFS(Calculated_Ratios!I:I, Calculated_Ratios!B:B, A3)</f>
        <v>6.862120612500064</v>
      </c>
    </row>
    <row r="4" spans="1:8" x14ac:dyDescent="0.25">
      <c r="A4">
        <v>2020</v>
      </c>
      <c r="B4" s="15">
        <f>AVERAGEIFS(Calculated_Ratios!C:C, Calculated_Ratios!B:B, A4)</f>
        <v>1.3577727907284939E-2</v>
      </c>
      <c r="C4" s="15">
        <f>AVERAGEIFS(Calculated_Ratios!D:D, Calculated_Ratios!B:B, A4)</f>
        <v>0.10012466536405655</v>
      </c>
      <c r="D4" s="15">
        <f>AVERAGEIFS(Calculated_Ratios!E:E, Calculated_Ratios!B:B, A4)</f>
        <v>5.015971842075588E-2</v>
      </c>
      <c r="E4" s="15">
        <f>AVERAGEIFS(Calculated_Ratios!F:F, Calculated_Ratios!B:B, A4)</f>
        <v>0.53641946573553922</v>
      </c>
      <c r="F4" s="15">
        <f>AVERAGEIFS(Calculated_Ratios!G:G, Calculated_Ratios!B:B, A4)</f>
        <v>4.0435122745086635E-2</v>
      </c>
      <c r="G4" s="22">
        <f>AVERAGEIFS(Calculated_Ratios!H:H, Calculated_Ratios!B:B, A4)</f>
        <v>0.37030059488706413</v>
      </c>
      <c r="H4" s="24">
        <f>AVERAGEIFS(Calculated_Ratios!I:I, Calculated_Ratios!B:B, A4)</f>
        <v>7.3294118752043333</v>
      </c>
    </row>
    <row r="5" spans="1:8" x14ac:dyDescent="0.25">
      <c r="A5">
        <v>2021</v>
      </c>
      <c r="B5" s="15">
        <f>AVERAGEIFS(Calculated_Ratios!C:C, Calculated_Ratios!B:B, A5)</f>
        <v>2.5590048359495764E-2</v>
      </c>
      <c r="C5" s="15">
        <f>AVERAGEIFS(Calculated_Ratios!D:D, Calculated_Ratios!B:B, A5)</f>
        <v>0.18648038362998381</v>
      </c>
      <c r="D5" s="15">
        <f>AVERAGEIFS(Calculated_Ratios!E:E, Calculated_Ratios!B:B, A5)</f>
        <v>5.640008103477806E-2</v>
      </c>
      <c r="E5" s="15">
        <f>AVERAGEIFS(Calculated_Ratios!F:F, Calculated_Ratios!B:B, A5)</f>
        <v>0.46970865704438464</v>
      </c>
      <c r="F5" s="15">
        <f>AVERAGEIFS(Calculated_Ratios!G:G, Calculated_Ratios!B:B, A5)</f>
        <v>2.7999129794833634E-2</v>
      </c>
      <c r="G5" s="22">
        <f>AVERAGEIFS(Calculated_Ratios!H:H, Calculated_Ratios!B:B, A5)</f>
        <v>0.37702835849850419</v>
      </c>
      <c r="H5" s="24">
        <f>AVERAGEIFS(Calculated_Ratios!I:I, Calculated_Ratios!B:B, A5)</f>
        <v>7.1010795674621487</v>
      </c>
    </row>
    <row r="6" spans="1:8" x14ac:dyDescent="0.25">
      <c r="A6">
        <v>2022</v>
      </c>
      <c r="B6" s="15">
        <f>AVERAGEIFS(Calculated_Ratios!C:C, Calculated_Ratios!B:B, A6)</f>
        <v>1.3574671377251121E-2</v>
      </c>
      <c r="C6" s="15">
        <f>AVERAGEIFS(Calculated_Ratios!D:D, Calculated_Ratios!B:B, A6)</f>
        <v>0.14779847691232759</v>
      </c>
      <c r="D6" s="15">
        <f>AVERAGEIFS(Calculated_Ratios!E:E, Calculated_Ratios!B:B, A6)</f>
        <v>5.5551018581034027E-2</v>
      </c>
      <c r="E6" s="15">
        <f>AVERAGEIFS(Calculated_Ratios!F:F, Calculated_Ratios!B:B, A6)</f>
        <v>0.20717420868740383</v>
      </c>
      <c r="F6" s="15">
        <f>AVERAGEIFS(Calculated_Ratios!G:G, Calculated_Ratios!B:B, A6)</f>
        <v>5.6194050619561939E-2</v>
      </c>
      <c r="G6" s="22">
        <f>AVERAGEIFS(Calculated_Ratios!H:H, Calculated_Ratios!B:B, A6)</f>
        <v>0.32789745793346292</v>
      </c>
      <c r="H6" s="24">
        <f>AVERAGEIFS(Calculated_Ratios!I:I, Calculated_Ratios!B:B, A6)</f>
        <v>6.7294492690870005</v>
      </c>
    </row>
    <row r="7" spans="1:8" x14ac:dyDescent="0.25">
      <c r="A7">
        <v>2023</v>
      </c>
      <c r="B7" s="15">
        <f>AVERAGEIFS(Calculated_Ratios!C:C, Calculated_Ratios!B:B, A7)</f>
        <v>2.4598114760437845E-2</v>
      </c>
      <c r="C7" s="15">
        <f>AVERAGEIFS(Calculated_Ratios!D:D, Calculated_Ratios!B:B, A7)</f>
        <v>0.1749648785179288</v>
      </c>
      <c r="D7" s="15">
        <f>AVERAGEIFS(Calculated_Ratios!E:E, Calculated_Ratios!B:B, A7)</f>
        <v>5.5331572798977213E-2</v>
      </c>
      <c r="E7" s="15">
        <f>AVERAGEIFS(Calculated_Ratios!F:F, Calculated_Ratios!B:B, A7)</f>
        <v>0.51524641258982551</v>
      </c>
      <c r="F7" s="15">
        <f>AVERAGEIFS(Calculated_Ratios!G:G, Calculated_Ratios!B:B, A7)</f>
        <v>6.8905188663061279E-2</v>
      </c>
      <c r="G7" s="22">
        <f>AVERAGEIFS(Calculated_Ratios!H:H, Calculated_Ratios!B:B, A7)</f>
        <v>0.34558623759141782</v>
      </c>
      <c r="H7" s="24">
        <f>AVERAGEIFS(Calculated_Ratios!I:I, Calculated_Ratios!B:B, A7)</f>
        <v>6.1013660259662812</v>
      </c>
    </row>
    <row r="8" spans="1:8" x14ac:dyDescent="0.25">
      <c r="A8">
        <v>2024</v>
      </c>
      <c r="B8" s="15">
        <f>AVERAGEIFS(Calculated_Ratios!C:C, Calculated_Ratios!B:B, A8)</f>
        <v>3.0809848153023699E-2</v>
      </c>
      <c r="C8" s="15">
        <f>AVERAGEIFS(Calculated_Ratios!D:D, Calculated_Ratios!B:B, A8)</f>
        <v>0.19728833417302724</v>
      </c>
      <c r="D8" s="15">
        <f>AVERAGEIFS(Calculated_Ratios!E:E, Calculated_Ratios!B:B, A8)</f>
        <v>5.296293944328602E-2</v>
      </c>
      <c r="E8" s="15">
        <f>AVERAGEIFS(Calculated_Ratios!F:F, Calculated_Ratios!B:B, A8)</f>
        <v>0.42843197364786317</v>
      </c>
      <c r="F8" s="15">
        <f>AVERAGEIFS(Calculated_Ratios!G:G, Calculated_Ratios!B:B, A8)</f>
        <v>0.13434615778492351</v>
      </c>
      <c r="G8" s="22">
        <f>AVERAGEIFS(Calculated_Ratios!H:H, Calculated_Ratios!B:B, A8)</f>
        <v>0.35125127050583216</v>
      </c>
      <c r="H8" s="24">
        <f>AVERAGEIFS(Calculated_Ratios!I:I, Calculated_Ratios!B:B, A8)</f>
        <v>5.9889831557111854</v>
      </c>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F60A-4FC2-4524-92C5-DD1E21ECB400}">
  <dimension ref="A3:G34"/>
  <sheetViews>
    <sheetView topLeftCell="C6" zoomScale="64" workbookViewId="0">
      <selection activeCell="M3" sqref="M3"/>
    </sheetView>
  </sheetViews>
  <sheetFormatPr defaultRowHeight="15" x14ac:dyDescent="0.25"/>
  <cols>
    <col min="1" max="1" width="20.85546875" customWidth="1"/>
    <col min="2" max="2" width="22.42578125" customWidth="1"/>
    <col min="3" max="3" width="8.42578125" bestFit="1" customWidth="1"/>
    <col min="4" max="4" width="8.85546875" bestFit="1" customWidth="1"/>
    <col min="5" max="5" width="8.42578125" bestFit="1" customWidth="1"/>
    <col min="6" max="6" width="8.5703125" bestFit="1" customWidth="1"/>
    <col min="7" max="7" width="15.5703125" bestFit="1" customWidth="1"/>
  </cols>
  <sheetData>
    <row r="3" spans="1:7" x14ac:dyDescent="0.25">
      <c r="A3" s="16" t="s">
        <v>84</v>
      </c>
      <c r="B3" s="16" t="s">
        <v>77</v>
      </c>
    </row>
    <row r="4" spans="1:7" x14ac:dyDescent="0.25">
      <c r="A4" s="16" t="s">
        <v>75</v>
      </c>
      <c r="B4" t="s">
        <v>28</v>
      </c>
      <c r="C4" t="s">
        <v>12</v>
      </c>
      <c r="D4" t="s">
        <v>29</v>
      </c>
      <c r="E4" t="s">
        <v>20</v>
      </c>
      <c r="F4" t="s">
        <v>30</v>
      </c>
      <c r="G4" t="s">
        <v>76</v>
      </c>
    </row>
    <row r="5" spans="1:7" x14ac:dyDescent="0.25">
      <c r="A5" s="17">
        <v>2018</v>
      </c>
      <c r="B5" s="25">
        <v>2.7961425948746132E-2</v>
      </c>
      <c r="C5" s="25">
        <v>2.5311241183831466E-2</v>
      </c>
      <c r="D5" s="25">
        <v>2.9024340282394714E-2</v>
      </c>
      <c r="E5" s="25">
        <v>3.0524740220934873E-2</v>
      </c>
      <c r="F5" s="25">
        <v>1.6608555109939464E-2</v>
      </c>
      <c r="G5" s="25">
        <v>2.588606054916933E-2</v>
      </c>
    </row>
    <row r="6" spans="1:7" x14ac:dyDescent="0.25">
      <c r="A6" s="17">
        <v>2019</v>
      </c>
      <c r="B6" s="25">
        <v>2.3800156980165792E-2</v>
      </c>
      <c r="C6" s="25">
        <v>3.1229029546552618E-2</v>
      </c>
      <c r="D6" s="25">
        <v>3.3062559636903945E-2</v>
      </c>
      <c r="E6" s="25">
        <v>3.2327783469343417E-2</v>
      </c>
      <c r="F6" s="25">
        <v>1.7819168526635329E-2</v>
      </c>
      <c r="G6" s="25">
        <v>2.7647739631920222E-2</v>
      </c>
    </row>
    <row r="7" spans="1:7" x14ac:dyDescent="0.25">
      <c r="A7" s="17">
        <v>2020</v>
      </c>
      <c r="B7" s="25">
        <v>1.2850529890042843E-2</v>
      </c>
      <c r="C7" s="25">
        <v>1.5289913238280335E-2</v>
      </c>
      <c r="D7" s="25">
        <v>9.1995275689286757E-3</v>
      </c>
      <c r="E7" s="25">
        <v>1.6570701117635468E-2</v>
      </c>
      <c r="F7" s="25">
        <v>1.3977967721537367E-2</v>
      </c>
      <c r="G7" s="25">
        <v>1.3577727907284936E-2</v>
      </c>
    </row>
    <row r="8" spans="1:7" x14ac:dyDescent="0.25">
      <c r="A8" s="17">
        <v>2021</v>
      </c>
      <c r="B8" s="25">
        <v>1.9298209634749083E-2</v>
      </c>
      <c r="C8" s="25">
        <v>3.311012595327642E-2</v>
      </c>
      <c r="D8" s="25">
        <v>2.3643813770991857E-2</v>
      </c>
      <c r="E8" s="25">
        <v>3.630373383931608E-2</v>
      </c>
      <c r="F8" s="25">
        <v>1.5594358599145396E-2</v>
      </c>
      <c r="G8" s="25">
        <v>2.5590048359495764E-2</v>
      </c>
    </row>
    <row r="9" spans="1:7" x14ac:dyDescent="0.25">
      <c r="A9" s="17">
        <v>2022</v>
      </c>
      <c r="B9" s="25">
        <v>2.8927202503894023E-2</v>
      </c>
      <c r="C9" s="25">
        <v>3.8503291494164274E-2</v>
      </c>
      <c r="D9" s="25">
        <v>2.2934850182330817E-2</v>
      </c>
      <c r="E9" s="25">
        <v>3.9072135738335331E-2</v>
      </c>
      <c r="F9" s="25">
        <v>-6.1564123032468845E-2</v>
      </c>
      <c r="G9" s="25">
        <v>1.3574671377251121E-2</v>
      </c>
    </row>
    <row r="10" spans="1:7" x14ac:dyDescent="0.25">
      <c r="A10" s="17">
        <v>2023</v>
      </c>
      <c r="B10" s="25">
        <v>2.26263652407706E-2</v>
      </c>
      <c r="C10" s="25">
        <v>4.4634970989857491E-2</v>
      </c>
      <c r="D10" s="25">
        <v>1.7637756728815141E-2</v>
      </c>
      <c r="E10" s="25">
        <v>3.7239776422506525E-2</v>
      </c>
      <c r="F10" s="25">
        <v>8.5170442023947798E-4</v>
      </c>
      <c r="G10" s="25">
        <v>2.4598114760437849E-2</v>
      </c>
    </row>
    <row r="11" spans="1:7" x14ac:dyDescent="0.25">
      <c r="A11" s="17">
        <v>2024</v>
      </c>
      <c r="B11" s="25">
        <v>2.2786899624440887E-2</v>
      </c>
      <c r="C11" s="25">
        <v>5.2015563130616345E-2</v>
      </c>
      <c r="D11" s="25">
        <v>2.4772791202616915E-2</v>
      </c>
      <c r="E11" s="25">
        <v>3.5857124490320157E-2</v>
      </c>
      <c r="F11" s="25">
        <v>1.8616862317124193E-2</v>
      </c>
      <c r="G11" s="25">
        <v>3.0809848153023699E-2</v>
      </c>
    </row>
    <row r="12" spans="1:7" x14ac:dyDescent="0.25">
      <c r="A12" s="17" t="s">
        <v>76</v>
      </c>
      <c r="B12" s="25">
        <v>2.2607255688972764E-2</v>
      </c>
      <c r="C12" s="25">
        <v>3.4299162219511278E-2</v>
      </c>
      <c r="D12" s="25">
        <v>2.2896519910426009E-2</v>
      </c>
      <c r="E12" s="25">
        <v>3.2556570756913122E-2</v>
      </c>
      <c r="F12" s="25">
        <v>3.1292133803074826E-3</v>
      </c>
      <c r="G12" s="25">
        <v>2.3097744391226131E-2</v>
      </c>
    </row>
    <row r="16" spans="1:7" x14ac:dyDescent="0.25">
      <c r="A16" s="18" t="s">
        <v>75</v>
      </c>
      <c r="B16" s="18" t="s">
        <v>28</v>
      </c>
      <c r="C16" s="18" t="s">
        <v>12</v>
      </c>
      <c r="D16" s="18" t="s">
        <v>29</v>
      </c>
      <c r="E16" s="18" t="s">
        <v>20</v>
      </c>
      <c r="F16" s="18" t="s">
        <v>30</v>
      </c>
      <c r="G16" s="19" t="s">
        <v>78</v>
      </c>
    </row>
    <row r="17" spans="1:7" x14ac:dyDescent="0.25">
      <c r="A17" s="17">
        <v>2018</v>
      </c>
      <c r="B17" s="15">
        <v>2.7961425948746132E-2</v>
      </c>
      <c r="C17" s="15">
        <v>2.5311241183831466E-2</v>
      </c>
      <c r="D17" s="15">
        <v>2.9024340282394714E-2</v>
      </c>
      <c r="E17" s="15">
        <v>3.0524740220934873E-2</v>
      </c>
      <c r="F17" s="15">
        <v>1.6608555109939464E-2</v>
      </c>
      <c r="G17" s="15">
        <v>2.5899999999999999E-2</v>
      </c>
    </row>
    <row r="18" spans="1:7" x14ac:dyDescent="0.25">
      <c r="A18" s="17">
        <v>2019</v>
      </c>
      <c r="B18" s="15">
        <v>2.3800156980165792E-2</v>
      </c>
      <c r="C18" s="15">
        <v>3.1229029546552618E-2</v>
      </c>
      <c r="D18" s="15">
        <v>3.3062559636903945E-2</v>
      </c>
      <c r="E18" s="15">
        <v>3.2327783469343417E-2</v>
      </c>
      <c r="F18" s="15">
        <v>1.7819168526635329E-2</v>
      </c>
      <c r="G18" s="15">
        <v>2.76E-2</v>
      </c>
    </row>
    <row r="19" spans="1:7" x14ac:dyDescent="0.25">
      <c r="A19" s="17">
        <v>2020</v>
      </c>
      <c r="B19" s="15">
        <v>1.2850529890042843E-2</v>
      </c>
      <c r="C19" s="15">
        <v>1.5289913238280335E-2</v>
      </c>
      <c r="D19" s="15">
        <v>9.1995275689286757E-3</v>
      </c>
      <c r="E19" s="15">
        <v>1.6570701117635468E-2</v>
      </c>
      <c r="F19" s="15">
        <v>1.3977967721537367E-2</v>
      </c>
      <c r="G19" s="15">
        <v>1.3599999999999999E-2</v>
      </c>
    </row>
    <row r="20" spans="1:7" x14ac:dyDescent="0.25">
      <c r="A20" s="17">
        <v>2021</v>
      </c>
      <c r="B20" s="15">
        <v>1.9298209634749083E-2</v>
      </c>
      <c r="C20" s="15">
        <v>3.311012595327642E-2</v>
      </c>
      <c r="D20" s="15">
        <v>2.3643813770991857E-2</v>
      </c>
      <c r="E20" s="15">
        <v>3.630373383931608E-2</v>
      </c>
      <c r="F20" s="15">
        <v>1.5594358599145396E-2</v>
      </c>
      <c r="G20" s="15">
        <v>2.5600000000000001E-2</v>
      </c>
    </row>
    <row r="21" spans="1:7" x14ac:dyDescent="0.25">
      <c r="A21" s="17">
        <v>2022</v>
      </c>
      <c r="B21" s="15">
        <v>2.8927202503894023E-2</v>
      </c>
      <c r="C21" s="15">
        <v>3.8503291494164274E-2</v>
      </c>
      <c r="D21" s="15">
        <v>2.2934850182330817E-2</v>
      </c>
      <c r="E21" s="15">
        <v>3.9072135738335331E-2</v>
      </c>
      <c r="F21" s="15">
        <v>-6.1564123032468845E-2</v>
      </c>
      <c r="G21" s="15">
        <v>1.3599999999999999E-2</v>
      </c>
    </row>
    <row r="22" spans="1:7" x14ac:dyDescent="0.25">
      <c r="A22" s="17">
        <v>2023</v>
      </c>
      <c r="B22" s="15">
        <v>2.26263652407706E-2</v>
      </c>
      <c r="C22" s="15">
        <v>4.4634970989857491E-2</v>
      </c>
      <c r="D22" s="15">
        <v>1.7637756728815141E-2</v>
      </c>
      <c r="E22" s="15">
        <v>3.7239776422506525E-2</v>
      </c>
      <c r="F22" s="15">
        <v>8.5170442023947798E-4</v>
      </c>
      <c r="G22" s="15">
        <v>2.46E-2</v>
      </c>
    </row>
    <row r="23" spans="1:7" x14ac:dyDescent="0.25">
      <c r="A23" s="17">
        <v>2024</v>
      </c>
      <c r="B23" s="15">
        <v>2.2786899624440887E-2</v>
      </c>
      <c r="C23" s="15">
        <v>5.2015563130616345E-2</v>
      </c>
      <c r="D23" s="15">
        <v>2.4772791202616915E-2</v>
      </c>
      <c r="E23" s="15">
        <v>3.5857124490320157E-2</v>
      </c>
      <c r="F23" s="15">
        <v>1.8616862317124193E-2</v>
      </c>
      <c r="G23" s="15">
        <v>3.0800000000000001E-2</v>
      </c>
    </row>
    <row r="27" spans="1:7" x14ac:dyDescent="0.25">
      <c r="A27" s="18" t="s">
        <v>75</v>
      </c>
      <c r="B27" s="18" t="s">
        <v>28</v>
      </c>
      <c r="C27" s="18" t="s">
        <v>12</v>
      </c>
      <c r="D27" s="18" t="s">
        <v>29</v>
      </c>
      <c r="E27" s="18" t="s">
        <v>20</v>
      </c>
      <c r="F27" s="18" t="s">
        <v>30</v>
      </c>
      <c r="G27" s="19" t="s">
        <v>78</v>
      </c>
    </row>
    <row r="28" spans="1:7" x14ac:dyDescent="0.25">
      <c r="A28" s="17">
        <v>2018</v>
      </c>
      <c r="B28" s="15">
        <v>0.16107985529938987</v>
      </c>
      <c r="C28" s="15">
        <v>0.21383981746353115</v>
      </c>
      <c r="D28" s="15">
        <v>0.16156225119725381</v>
      </c>
      <c r="E28" s="15">
        <v>0.21883180783203737</v>
      </c>
      <c r="F28" s="15">
        <v>0.11162033595033022</v>
      </c>
      <c r="G28" s="15">
        <v>0.1734</v>
      </c>
    </row>
    <row r="29" spans="1:7" x14ac:dyDescent="0.25">
      <c r="A29" s="17">
        <v>2019</v>
      </c>
      <c r="B29" s="15">
        <v>0.14001860562820254</v>
      </c>
      <c r="C29" s="15">
        <v>0.26934336372647488</v>
      </c>
      <c r="D29" s="15">
        <v>0.20937394786738256</v>
      </c>
      <c r="E29" s="15">
        <v>0.23503343514662645</v>
      </c>
      <c r="F29" s="15">
        <v>0.11047436590015909</v>
      </c>
      <c r="G29" s="15">
        <v>0.1928</v>
      </c>
    </row>
    <row r="30" spans="1:7" x14ac:dyDescent="0.25">
      <c r="A30" s="17">
        <v>2020</v>
      </c>
      <c r="B30" s="15">
        <v>8.1754786271703614E-2</v>
      </c>
      <c r="C30" s="15">
        <v>0.13426120918668058</v>
      </c>
      <c r="D30" s="15">
        <v>6.8650695801167144E-2</v>
      </c>
      <c r="E30" s="15">
        <v>0.12579892537892423</v>
      </c>
      <c r="F30" s="15">
        <v>9.0157710181807141E-2</v>
      </c>
      <c r="G30" s="15">
        <v>0.10009999999999999</v>
      </c>
    </row>
    <row r="31" spans="1:7" x14ac:dyDescent="0.25">
      <c r="A31" s="17">
        <v>2021</v>
      </c>
      <c r="B31" s="15">
        <v>0.11685988838322266</v>
      </c>
      <c r="C31" s="15">
        <v>0.26854694889794661</v>
      </c>
      <c r="D31" s="15">
        <v>0.18925167998886452</v>
      </c>
      <c r="E31" s="15">
        <v>0.26259007653146654</v>
      </c>
      <c r="F31" s="15">
        <v>9.515332434841875E-2</v>
      </c>
      <c r="G31" s="15">
        <v>0.1865</v>
      </c>
    </row>
    <row r="32" spans="1:7" x14ac:dyDescent="0.25">
      <c r="A32" s="17">
        <v>2022</v>
      </c>
      <c r="B32" s="15">
        <v>0.18378441428551928</v>
      </c>
      <c r="C32" s="15">
        <v>0.33980938209235756</v>
      </c>
      <c r="D32" s="15">
        <v>0.1849828052854568</v>
      </c>
      <c r="E32" s="15">
        <v>0.26046171665293805</v>
      </c>
      <c r="F32" s="15">
        <v>-0.23004593375463364</v>
      </c>
      <c r="G32" s="15">
        <v>0.14779999999999999</v>
      </c>
    </row>
    <row r="33" spans="1:7" x14ac:dyDescent="0.25">
      <c r="A33" s="17">
        <v>2023</v>
      </c>
      <c r="B33" s="15">
        <v>0.1577738263923589</v>
      </c>
      <c r="C33" s="15">
        <v>0.32374107006101643</v>
      </c>
      <c r="D33" s="15">
        <v>0.14375715320726187</v>
      </c>
      <c r="E33" s="15">
        <v>0.24830679188165411</v>
      </c>
      <c r="F33" s="15">
        <v>1.2455510473527369E-3</v>
      </c>
      <c r="G33" s="15">
        <v>0.17499999999999999</v>
      </c>
    </row>
    <row r="34" spans="1:7" x14ac:dyDescent="0.25">
      <c r="A34" s="17">
        <v>2024</v>
      </c>
      <c r="B34" s="15">
        <v>0.15162362833193715</v>
      </c>
      <c r="C34" s="15">
        <v>0.36457034471841843</v>
      </c>
      <c r="D34" s="15">
        <v>0.20044585726723971</v>
      </c>
      <c r="E34" s="15">
        <v>0.24400124753272176</v>
      </c>
      <c r="F34" s="15">
        <v>2.5800593014819236E-2</v>
      </c>
      <c r="G34" s="15">
        <v>0.1973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E104-3F68-49D9-8AC4-78BDB7E09E4E}">
  <dimension ref="A1:W36"/>
  <sheetViews>
    <sheetView topLeftCell="U1" zoomScale="76" workbookViewId="0">
      <selection activeCell="R2" sqref="R2"/>
    </sheetView>
  </sheetViews>
  <sheetFormatPr defaultRowHeight="15" x14ac:dyDescent="0.25"/>
  <cols>
    <col min="4" max="4" width="12.5703125" bestFit="1" customWidth="1"/>
    <col min="5" max="5" width="14.85546875" bestFit="1" customWidth="1"/>
    <col min="6" max="6" width="11.140625" bestFit="1" customWidth="1"/>
    <col min="7" max="7" width="12.28515625" bestFit="1" customWidth="1"/>
    <col min="8" max="8" width="14.5703125" bestFit="1" customWidth="1"/>
    <col min="9" max="9" width="12" style="15" bestFit="1" customWidth="1"/>
    <col min="10" max="10" width="12.5703125" bestFit="1" customWidth="1"/>
    <col min="11" max="11" width="14.85546875" bestFit="1" customWidth="1"/>
    <col min="13" max="13" width="11.5703125" bestFit="1" customWidth="1"/>
    <col min="14" max="14" width="13.85546875" bestFit="1" customWidth="1"/>
    <col min="16" max="16" width="12.140625" bestFit="1" customWidth="1"/>
    <col min="17" max="17" width="14.42578125" bestFit="1" customWidth="1"/>
    <col min="18" max="18" width="18.5703125" bestFit="1" customWidth="1"/>
    <col min="19" max="19" width="21.42578125" bestFit="1" customWidth="1"/>
    <col min="20" max="20" width="23.5703125" bestFit="1" customWidth="1"/>
    <col min="21" max="21" width="16" bestFit="1" customWidth="1"/>
    <col min="22" max="22" width="24.140625" bestFit="1" customWidth="1"/>
    <col min="23" max="23" width="26.42578125" bestFit="1" customWidth="1"/>
  </cols>
  <sheetData>
    <row r="1" spans="1:23" x14ac:dyDescent="0.25">
      <c r="A1" s="1" t="s">
        <v>0</v>
      </c>
      <c r="B1" s="1" t="s">
        <v>1</v>
      </c>
      <c r="C1" s="1" t="s">
        <v>53</v>
      </c>
      <c r="D1" s="1" t="s">
        <v>90</v>
      </c>
      <c r="E1" s="1" t="s">
        <v>91</v>
      </c>
      <c r="F1" s="1" t="s">
        <v>54</v>
      </c>
      <c r="G1" s="1" t="s">
        <v>92</v>
      </c>
      <c r="H1" s="1" t="s">
        <v>93</v>
      </c>
      <c r="I1" s="27" t="s">
        <v>72</v>
      </c>
      <c r="J1" s="1" t="s">
        <v>94</v>
      </c>
      <c r="K1" s="1" t="s">
        <v>95</v>
      </c>
      <c r="L1" s="1" t="s">
        <v>55</v>
      </c>
      <c r="M1" s="1" t="s">
        <v>96</v>
      </c>
      <c r="N1" s="1" t="s">
        <v>97</v>
      </c>
      <c r="O1" s="1" t="s">
        <v>98</v>
      </c>
      <c r="P1" s="1" t="s">
        <v>99</v>
      </c>
      <c r="Q1" s="1" t="s">
        <v>100</v>
      </c>
      <c r="R1" s="1" t="s">
        <v>73</v>
      </c>
      <c r="S1" s="1" t="s">
        <v>101</v>
      </c>
      <c r="T1" s="1" t="s">
        <v>102</v>
      </c>
      <c r="U1" s="1" t="s">
        <v>80</v>
      </c>
      <c r="V1" s="1" t="s">
        <v>103</v>
      </c>
      <c r="W1" s="1" t="s">
        <v>104</v>
      </c>
    </row>
    <row r="2" spans="1:23" x14ac:dyDescent="0.25">
      <c r="A2" t="s">
        <v>12</v>
      </c>
      <c r="B2">
        <v>2018</v>
      </c>
      <c r="C2" s="15">
        <f>(Raw_Data!C2)/((Raw_Data!D2+Raw_Data!E2)/2)</f>
        <v>2.5311241183831466E-2</v>
      </c>
      <c r="D2" s="15">
        <v>2.5899999999999999E-2</v>
      </c>
      <c r="E2" s="25">
        <f>C2-D2</f>
        <v>-5.8875881616853379E-4</v>
      </c>
      <c r="F2" s="15">
        <v>0.21383981746353115</v>
      </c>
      <c r="G2" s="15">
        <v>0.17338681354850852</v>
      </c>
      <c r="H2" s="25">
        <f>F2-G2</f>
        <v>4.0453003915022628E-2</v>
      </c>
      <c r="I2" s="15">
        <v>5.3900370917610227E-2</v>
      </c>
      <c r="J2" s="15">
        <v>6.7418097266389851E-2</v>
      </c>
      <c r="K2" s="25">
        <f>I2-J2</f>
        <v>-1.3517726348779624E-2</v>
      </c>
      <c r="L2" s="15">
        <v>0.35951998257562162</v>
      </c>
      <c r="M2" s="15">
        <v>0.47914859191286024</v>
      </c>
      <c r="N2" s="25">
        <f>L2-M2</f>
        <v>-0.11962860933723862</v>
      </c>
      <c r="O2" s="15">
        <v>3.5623670296660692E-2</v>
      </c>
      <c r="P2" s="15">
        <v>2.9540774191859197E-2</v>
      </c>
      <c r="Q2" s="25">
        <f>O2-P2</f>
        <v>6.0828961048014947E-3</v>
      </c>
      <c r="R2" s="23">
        <v>0.34744472900998785</v>
      </c>
      <c r="S2" s="15">
        <v>0.37976000064459486</v>
      </c>
      <c r="T2" s="25">
        <f>R2-S2</f>
        <v>-3.2315271634607012E-2</v>
      </c>
      <c r="U2" s="20">
        <v>8.4484129367835816</v>
      </c>
      <c r="V2" s="20">
        <v>6.7330585068694742</v>
      </c>
      <c r="W2" s="20">
        <f>U2-V2</f>
        <v>1.7153544299141075</v>
      </c>
    </row>
    <row r="3" spans="1:23" x14ac:dyDescent="0.25">
      <c r="A3" t="s">
        <v>12</v>
      </c>
      <c r="B3">
        <v>2019</v>
      </c>
      <c r="C3" s="15">
        <f>(Raw_Data!C3)/((Raw_Data!D3+Raw_Data!E3)/2)</f>
        <v>3.1229029546552618E-2</v>
      </c>
      <c r="D3" s="15">
        <v>2.76E-2</v>
      </c>
      <c r="E3" s="25">
        <f t="shared" ref="E3:E36" si="0">C3-D3</f>
        <v>3.629029546552618E-3</v>
      </c>
      <c r="F3" s="15">
        <v>0.26934336372647488</v>
      </c>
      <c r="G3" s="15">
        <v>0.19284874365376911</v>
      </c>
      <c r="H3" s="25">
        <f t="shared" ref="H3:H36" si="1">F3-G3</f>
        <v>7.6494620072705771E-2</v>
      </c>
      <c r="I3" s="15">
        <v>4.7710751820344198E-2</v>
      </c>
      <c r="J3" s="15">
        <v>6.1215421659503631E-2</v>
      </c>
      <c r="K3" s="25">
        <f t="shared" ref="K3:K36" si="2">I3-J3</f>
        <v>-1.3504669839159433E-2</v>
      </c>
      <c r="L3" s="15">
        <v>0.3717450448761534</v>
      </c>
      <c r="M3" s="15">
        <v>0.49458332180430276</v>
      </c>
      <c r="N3" s="25">
        <f t="shared" ref="N3:N36" si="3">L3-M3</f>
        <v>-0.12283827692814936</v>
      </c>
      <c r="O3" s="15">
        <v>2.1932961156486592E-2</v>
      </c>
      <c r="P3" s="15">
        <v>2.9268536576877134E-2</v>
      </c>
      <c r="Q3" s="25">
        <f t="shared" ref="Q3:Q36" si="4">O3-P3</f>
        <v>-7.3355754203905423E-3</v>
      </c>
      <c r="R3" s="23">
        <v>0.36006522398978774</v>
      </c>
      <c r="S3" s="15">
        <v>0.37657148366191306</v>
      </c>
      <c r="T3" s="25">
        <f t="shared" ref="T3:T36" si="5">R3-S3</f>
        <v>-1.6506259672125323E-2</v>
      </c>
      <c r="U3" s="20">
        <v>8.624775333635295</v>
      </c>
      <c r="V3" s="20">
        <v>6.862120612500064</v>
      </c>
      <c r="W3" s="20">
        <f t="shared" ref="W3:W36" si="6">U3-V3</f>
        <v>1.762654721135231</v>
      </c>
    </row>
    <row r="4" spans="1:23" x14ac:dyDescent="0.25">
      <c r="A4" t="s">
        <v>12</v>
      </c>
      <c r="B4">
        <v>2020</v>
      </c>
      <c r="C4" s="15">
        <f>(Raw_Data!C4)/((Raw_Data!D4+Raw_Data!E4)/2)</f>
        <v>1.5289913238280335E-2</v>
      </c>
      <c r="D4" s="15">
        <v>1.3599999999999999E-2</v>
      </c>
      <c r="E4" s="25">
        <f t="shared" si="0"/>
        <v>1.6899132382803359E-3</v>
      </c>
      <c r="F4" s="15">
        <v>0.13426120918668058</v>
      </c>
      <c r="G4" s="15">
        <v>0.10012466536405655</v>
      </c>
      <c r="H4" s="25">
        <f t="shared" si="1"/>
        <v>3.413654382262403E-2</v>
      </c>
      <c r="I4" s="15">
        <v>3.8162475669112045E-2</v>
      </c>
      <c r="J4" s="15">
        <v>5.015971842075588E-2</v>
      </c>
      <c r="K4" s="25">
        <f t="shared" si="2"/>
        <v>-1.1997242751643836E-2</v>
      </c>
      <c r="L4" s="15">
        <v>0.37568994583943133</v>
      </c>
      <c r="M4" s="15">
        <v>0.53641946573553922</v>
      </c>
      <c r="N4" s="25">
        <f t="shared" si="3"/>
        <v>-0.1607295198961079</v>
      </c>
      <c r="O4" s="15">
        <v>3.9717726983378734E-2</v>
      </c>
      <c r="P4" s="15">
        <v>4.0435122745086635E-2</v>
      </c>
      <c r="Q4" s="25">
        <f t="shared" si="4"/>
        <v>-7.1739576170790076E-4</v>
      </c>
      <c r="R4" s="23">
        <v>0.35684428498598791</v>
      </c>
      <c r="S4" s="15">
        <v>0.37030059488706413</v>
      </c>
      <c r="T4" s="25">
        <f t="shared" si="5"/>
        <v>-1.3456309901076213E-2</v>
      </c>
      <c r="U4" s="20">
        <v>8.7810314613519029</v>
      </c>
      <c r="V4" s="20">
        <v>7.3294118752043333</v>
      </c>
      <c r="W4" s="20">
        <f t="shared" si="6"/>
        <v>1.4516195861475696</v>
      </c>
    </row>
    <row r="5" spans="1:23" x14ac:dyDescent="0.25">
      <c r="A5" t="s">
        <v>12</v>
      </c>
      <c r="B5">
        <v>2021</v>
      </c>
      <c r="C5" s="15">
        <f>(Raw_Data!C5)/((Raw_Data!D5+Raw_Data!E5)/2)</f>
        <v>3.311012595327642E-2</v>
      </c>
      <c r="D5" s="15">
        <v>2.5600000000000001E-2</v>
      </c>
      <c r="E5" s="25">
        <f t="shared" si="0"/>
        <v>7.510125953276419E-3</v>
      </c>
      <c r="F5" s="15">
        <v>0.26854694889794661</v>
      </c>
      <c r="G5" s="15">
        <v>0.18648038362998381</v>
      </c>
      <c r="H5" s="25">
        <f t="shared" si="1"/>
        <v>8.2066565267962799E-2</v>
      </c>
      <c r="I5" s="15">
        <v>4.1882621576309807E-2</v>
      </c>
      <c r="J5" s="15">
        <v>5.640008103477806E-2</v>
      </c>
      <c r="K5" s="25">
        <f t="shared" si="2"/>
        <v>-1.4517459458468253E-2</v>
      </c>
      <c r="L5" s="15">
        <v>0.35354851666997567</v>
      </c>
      <c r="M5" s="15">
        <v>0.46970865704438464</v>
      </c>
      <c r="N5" s="25">
        <f t="shared" si="3"/>
        <v>-0.11616014037440897</v>
      </c>
      <c r="O5" s="15">
        <v>2.5781325049450486E-2</v>
      </c>
      <c r="P5" s="15">
        <v>2.7999129794833634E-2</v>
      </c>
      <c r="Q5" s="25">
        <f t="shared" si="4"/>
        <v>-2.2178047453831479E-3</v>
      </c>
      <c r="R5" s="23">
        <v>0.36236605075531858</v>
      </c>
      <c r="S5" s="15">
        <v>0.37702835849850419</v>
      </c>
      <c r="T5" s="25">
        <f t="shared" si="5"/>
        <v>-1.466230774318561E-2</v>
      </c>
      <c r="U5" s="20">
        <v>8.1107196413842857</v>
      </c>
      <c r="V5" s="20">
        <v>7.1010795674621487</v>
      </c>
      <c r="W5" s="20">
        <f t="shared" si="6"/>
        <v>1.0096400739221369</v>
      </c>
    </row>
    <row r="6" spans="1:23" x14ac:dyDescent="0.25">
      <c r="A6" t="s">
        <v>12</v>
      </c>
      <c r="B6">
        <v>2022</v>
      </c>
      <c r="C6" s="15">
        <f>(Raw_Data!C6)/((Raw_Data!D6+Raw_Data!E6)/2)</f>
        <v>3.8503291494164274E-2</v>
      </c>
      <c r="D6" s="15">
        <v>1.3599999999999999E-2</v>
      </c>
      <c r="E6" s="25">
        <f t="shared" si="0"/>
        <v>2.4903291494164273E-2</v>
      </c>
      <c r="F6" s="15">
        <v>0.33980938209235756</v>
      </c>
      <c r="G6" s="15">
        <v>0.14779847691232759</v>
      </c>
      <c r="H6" s="25">
        <f t="shared" si="1"/>
        <v>0.19201090518002997</v>
      </c>
      <c r="I6" s="15">
        <v>4.5590934840234305E-2</v>
      </c>
      <c r="J6" s="15">
        <v>5.5551018581034027E-2</v>
      </c>
      <c r="K6" s="25">
        <f t="shared" si="2"/>
        <v>-9.9600837407997217E-3</v>
      </c>
      <c r="L6" s="15">
        <v>0.30117530589071662</v>
      </c>
      <c r="M6" s="15">
        <v>0.20717420868740383</v>
      </c>
      <c r="N6" s="25">
        <f t="shared" si="3"/>
        <v>9.4001097203312789E-2</v>
      </c>
      <c r="O6" s="15">
        <v>2.763274334469655E-2</v>
      </c>
      <c r="P6" s="15">
        <v>5.6194050619561939E-2</v>
      </c>
      <c r="Q6" s="25">
        <f t="shared" si="4"/>
        <v>-2.8561307274865388E-2</v>
      </c>
      <c r="R6" s="23">
        <v>0.3314507939040065</v>
      </c>
      <c r="S6" s="15">
        <v>0.32789745793346292</v>
      </c>
      <c r="T6" s="25">
        <f t="shared" si="5"/>
        <v>3.5533359705435807E-3</v>
      </c>
      <c r="U6" s="20">
        <v>8.8254631982271068</v>
      </c>
      <c r="V6" s="20">
        <v>6.7294492690870005</v>
      </c>
      <c r="W6" s="20">
        <f t="shared" si="6"/>
        <v>2.0960139291401063</v>
      </c>
    </row>
    <row r="7" spans="1:23" x14ac:dyDescent="0.25">
      <c r="A7" t="s">
        <v>12</v>
      </c>
      <c r="B7">
        <v>2023</v>
      </c>
      <c r="C7" s="15">
        <f>(Raw_Data!C7)/((Raw_Data!D7+Raw_Data!E7)/2)</f>
        <v>4.4634970989857491E-2</v>
      </c>
      <c r="D7" s="15">
        <v>2.46E-2</v>
      </c>
      <c r="E7" s="25">
        <f t="shared" si="0"/>
        <v>2.003497098985749E-2</v>
      </c>
      <c r="F7" s="15">
        <v>0.32374107006101643</v>
      </c>
      <c r="G7" s="15">
        <v>0.1749648785179288</v>
      </c>
      <c r="H7" s="25">
        <f t="shared" si="1"/>
        <v>0.14877619154308763</v>
      </c>
      <c r="I7" s="15">
        <v>5.3077945196787317E-2</v>
      </c>
      <c r="J7" s="15">
        <v>5.5331572798977213E-2</v>
      </c>
      <c r="K7" s="25">
        <f t="shared" si="2"/>
        <v>-2.2536276021898963E-3</v>
      </c>
      <c r="L7" s="15">
        <v>0.28141707655839338</v>
      </c>
      <c r="M7" s="15">
        <v>0.51524641258982551</v>
      </c>
      <c r="N7" s="25">
        <f t="shared" si="3"/>
        <v>-0.23382933603143213</v>
      </c>
      <c r="O7" s="15">
        <v>2.2148183195887423E-2</v>
      </c>
      <c r="P7" s="15">
        <v>6.8905188663061279E-2</v>
      </c>
      <c r="Q7" s="25">
        <f t="shared" si="4"/>
        <v>-4.6757005467173859E-2</v>
      </c>
      <c r="R7" s="23">
        <v>0.34322798041698249</v>
      </c>
      <c r="S7" s="15">
        <v>0.34558623759141782</v>
      </c>
      <c r="T7" s="25">
        <f t="shared" si="5"/>
        <v>-2.3582571744353298E-3</v>
      </c>
      <c r="U7" s="20">
        <v>7.2530812249117593</v>
      </c>
      <c r="V7" s="20">
        <v>6.1013660259662812</v>
      </c>
      <c r="W7" s="20">
        <f t="shared" si="6"/>
        <v>1.1517151989454781</v>
      </c>
    </row>
    <row r="8" spans="1:23" x14ac:dyDescent="0.25">
      <c r="A8" t="s">
        <v>12</v>
      </c>
      <c r="B8">
        <v>2024</v>
      </c>
      <c r="C8" s="15">
        <f>(Raw_Data!C8)/((Raw_Data!D8+Raw_Data!E8)/2)</f>
        <v>5.2015563130616345E-2</v>
      </c>
      <c r="D8" s="15">
        <v>3.0800000000000001E-2</v>
      </c>
      <c r="E8" s="25">
        <f t="shared" si="0"/>
        <v>2.1215563130616344E-2</v>
      </c>
      <c r="F8" s="15">
        <v>0.36457034471841843</v>
      </c>
      <c r="G8" s="15">
        <v>0.19728833417302724</v>
      </c>
      <c r="H8" s="25">
        <f t="shared" si="1"/>
        <v>0.16728201054539119</v>
      </c>
      <c r="I8" s="15">
        <v>5.2152769500529612E-2</v>
      </c>
      <c r="J8" s="15">
        <v>5.296293944328602E-2</v>
      </c>
      <c r="K8" s="25">
        <f t="shared" si="2"/>
        <v>-8.1016994275640714E-4</v>
      </c>
      <c r="L8" s="15">
        <v>0.2897842066446647</v>
      </c>
      <c r="M8" s="15">
        <v>0.42843197364786317</v>
      </c>
      <c r="N8" s="25">
        <f t="shared" si="3"/>
        <v>-0.13864776700319847</v>
      </c>
      <c r="O8" s="15">
        <v>2.3015685356968612E-2</v>
      </c>
      <c r="P8" s="15">
        <v>0.13434615778492351</v>
      </c>
      <c r="Q8" s="25">
        <f t="shared" si="4"/>
        <v>-0.11133047242795489</v>
      </c>
      <c r="R8" s="23">
        <v>0.34274342240431438</v>
      </c>
      <c r="S8" s="15">
        <v>0.35125127050583216</v>
      </c>
      <c r="T8" s="25">
        <f t="shared" si="5"/>
        <v>-8.5078481015177787E-3</v>
      </c>
      <c r="U8" s="20">
        <v>7.0088704759947582</v>
      </c>
      <c r="V8" s="20">
        <v>5.9889831557111854</v>
      </c>
      <c r="W8" s="20">
        <f t="shared" si="6"/>
        <v>1.0198873202835728</v>
      </c>
    </row>
    <row r="9" spans="1:23" x14ac:dyDescent="0.25">
      <c r="A9" t="s">
        <v>20</v>
      </c>
      <c r="B9">
        <v>2018</v>
      </c>
      <c r="C9" s="15">
        <f>(Raw_Data!C9)/((Raw_Data!D9+Raw_Data!E9)/2)</f>
        <v>3.0524740220934873E-2</v>
      </c>
      <c r="D9" s="15">
        <v>2.5899999999999999E-2</v>
      </c>
      <c r="E9" s="25">
        <f t="shared" si="0"/>
        <v>4.6247402209348733E-3</v>
      </c>
      <c r="F9" s="15">
        <v>0.21883180783203737</v>
      </c>
      <c r="G9" s="15">
        <v>0.17338681354850852</v>
      </c>
      <c r="H9" s="25">
        <f t="shared" si="1"/>
        <v>4.5444994283528856E-2</v>
      </c>
      <c r="I9" s="15">
        <v>5.428359745018032E-2</v>
      </c>
      <c r="J9" s="15">
        <v>6.7418097266389851E-2</v>
      </c>
      <c r="K9" s="25">
        <f t="shared" si="2"/>
        <v>-1.3134499816209531E-2</v>
      </c>
      <c r="L9" s="15">
        <v>0.3713873794776984</v>
      </c>
      <c r="M9" s="15">
        <v>0.47914859191286024</v>
      </c>
      <c r="N9" s="25">
        <f t="shared" si="3"/>
        <v>-0.10776121243516185</v>
      </c>
      <c r="O9" s="15">
        <v>3.0999995950863536E-2</v>
      </c>
      <c r="P9" s="15">
        <v>2.9540774191859197E-2</v>
      </c>
      <c r="Q9" s="25">
        <f t="shared" si="4"/>
        <v>1.4592217590043387E-3</v>
      </c>
      <c r="R9" s="23">
        <v>0.36535930183515469</v>
      </c>
      <c r="S9" s="15">
        <v>0.37976000064459486</v>
      </c>
      <c r="T9" s="25">
        <f t="shared" si="5"/>
        <v>-1.4400698809440171E-2</v>
      </c>
      <c r="U9" s="20">
        <v>7.1689982043468898</v>
      </c>
      <c r="V9" s="20">
        <v>6.7330585068694742</v>
      </c>
      <c r="W9" s="20">
        <f t="shared" si="6"/>
        <v>0.43593969747741568</v>
      </c>
    </row>
    <row r="10" spans="1:23" x14ac:dyDescent="0.25">
      <c r="A10" t="s">
        <v>20</v>
      </c>
      <c r="B10">
        <v>2019</v>
      </c>
      <c r="C10" s="15">
        <f>(Raw_Data!C10)/((Raw_Data!D10+Raw_Data!E10)/2)</f>
        <v>3.2327783469343417E-2</v>
      </c>
      <c r="D10" s="15">
        <v>2.76E-2</v>
      </c>
      <c r="E10" s="25">
        <f t="shared" si="0"/>
        <v>4.7277834693434176E-3</v>
      </c>
      <c r="F10" s="15">
        <v>0.23503343514662645</v>
      </c>
      <c r="G10" s="15">
        <v>0.19284874365376911</v>
      </c>
      <c r="H10" s="25">
        <f t="shared" si="1"/>
        <v>4.2184691492857335E-2</v>
      </c>
      <c r="I10" s="15">
        <v>4.6993578638265622E-2</v>
      </c>
      <c r="J10" s="15">
        <v>6.1215421659503631E-2</v>
      </c>
      <c r="K10" s="25">
        <f t="shared" si="2"/>
        <v>-1.4221843021238009E-2</v>
      </c>
      <c r="L10" s="15">
        <v>0.37721121354436332</v>
      </c>
      <c r="M10" s="15">
        <v>0.49458332180430276</v>
      </c>
      <c r="N10" s="25">
        <f t="shared" si="3"/>
        <v>-0.11737210825993943</v>
      </c>
      <c r="O10" s="15">
        <v>2.7000016980000322E-2</v>
      </c>
      <c r="P10" s="15">
        <v>2.9268536576877134E-2</v>
      </c>
      <c r="Q10" s="25">
        <f t="shared" si="4"/>
        <v>-2.268519596876812E-3</v>
      </c>
      <c r="R10" s="23">
        <v>0.37506339695847446</v>
      </c>
      <c r="S10" s="15">
        <v>0.37657148366191306</v>
      </c>
      <c r="T10" s="25">
        <f t="shared" si="5"/>
        <v>-1.5080867034386047E-3</v>
      </c>
      <c r="U10" s="20">
        <v>7.2703232304655119</v>
      </c>
      <c r="V10" s="20">
        <v>6.862120612500064</v>
      </c>
      <c r="W10" s="20">
        <f t="shared" si="6"/>
        <v>0.40820261796544788</v>
      </c>
    </row>
    <row r="11" spans="1:23" x14ac:dyDescent="0.25">
      <c r="A11" t="s">
        <v>20</v>
      </c>
      <c r="B11">
        <v>2020</v>
      </c>
      <c r="C11" s="15">
        <f>(Raw_Data!C11)/((Raw_Data!D11+Raw_Data!E11)/2)</f>
        <v>1.6570701117635468E-2</v>
      </c>
      <c r="D11" s="15">
        <v>1.3599999999999999E-2</v>
      </c>
      <c r="E11" s="25">
        <f t="shared" si="0"/>
        <v>2.9707011176354683E-3</v>
      </c>
      <c r="F11" s="15">
        <v>0.12579892537892423</v>
      </c>
      <c r="G11" s="15">
        <v>0.10012466536405655</v>
      </c>
      <c r="H11" s="25">
        <f t="shared" si="1"/>
        <v>2.5674260014867681E-2</v>
      </c>
      <c r="I11" s="15">
        <v>4.0667593976059305E-2</v>
      </c>
      <c r="J11" s="15">
        <v>5.015971842075588E-2</v>
      </c>
      <c r="K11" s="25">
        <f t="shared" si="2"/>
        <v>-9.4921244446965758E-3</v>
      </c>
      <c r="L11" s="15">
        <v>0.35092097935273614</v>
      </c>
      <c r="M11" s="15">
        <v>0.53641946573553922</v>
      </c>
      <c r="N11" s="25">
        <f t="shared" si="3"/>
        <v>-0.18549848638280308</v>
      </c>
      <c r="O11" s="15">
        <v>4.6999986513614832E-2</v>
      </c>
      <c r="P11" s="15">
        <v>4.0435122745086635E-2</v>
      </c>
      <c r="Q11" s="25">
        <f t="shared" si="4"/>
        <v>6.5648637685281966E-3</v>
      </c>
      <c r="R11" s="23">
        <v>0.37342583007047192</v>
      </c>
      <c r="S11" s="15">
        <v>0.37030059488706413</v>
      </c>
      <c r="T11" s="25">
        <f t="shared" si="5"/>
        <v>3.1252351834077929E-3</v>
      </c>
      <c r="U11" s="20">
        <v>7.5916477212326248</v>
      </c>
      <c r="V11" s="20">
        <v>7.3294118752043333</v>
      </c>
      <c r="W11" s="20">
        <f t="shared" si="6"/>
        <v>0.26223584602829142</v>
      </c>
    </row>
    <row r="12" spans="1:23" x14ac:dyDescent="0.25">
      <c r="A12" t="s">
        <v>20</v>
      </c>
      <c r="B12">
        <v>2021</v>
      </c>
      <c r="C12" s="15">
        <f>(Raw_Data!C12)/((Raw_Data!D12+Raw_Data!E12)/2)</f>
        <v>3.630373383931608E-2</v>
      </c>
      <c r="D12" s="15">
        <v>2.5600000000000001E-2</v>
      </c>
      <c r="E12" s="25">
        <f t="shared" si="0"/>
        <v>1.0703733839316078E-2</v>
      </c>
      <c r="F12" s="15">
        <v>0.26259007653146654</v>
      </c>
      <c r="G12" s="15">
        <v>0.18648038362998381</v>
      </c>
      <c r="H12" s="25">
        <f t="shared" si="1"/>
        <v>7.6109692901482728E-2</v>
      </c>
      <c r="I12" s="15">
        <v>4.2886508286211128E-2</v>
      </c>
      <c r="J12" s="15">
        <v>5.640008103477806E-2</v>
      </c>
      <c r="K12" s="25">
        <f t="shared" si="2"/>
        <v>-1.3513572748566932E-2</v>
      </c>
      <c r="L12" s="15">
        <v>0.32548136214972662</v>
      </c>
      <c r="M12" s="15">
        <v>0.46970865704438464</v>
      </c>
      <c r="N12" s="25">
        <f t="shared" si="3"/>
        <v>-0.14422729489465802</v>
      </c>
      <c r="O12" s="15">
        <v>2.3999983957111698E-2</v>
      </c>
      <c r="P12" s="15">
        <v>2.7999129794833634E-2</v>
      </c>
      <c r="Q12" s="25">
        <f t="shared" si="4"/>
        <v>-3.999145837721936E-3</v>
      </c>
      <c r="R12" s="23">
        <v>0.36509711753232893</v>
      </c>
      <c r="S12" s="15">
        <v>0.37702835849850419</v>
      </c>
      <c r="T12" s="25">
        <f t="shared" si="5"/>
        <v>-1.1931240966175261E-2</v>
      </c>
      <c r="U12" s="20">
        <v>7.2331424005507587</v>
      </c>
      <c r="V12" s="20">
        <v>7.1010795674621487</v>
      </c>
      <c r="W12" s="20">
        <f t="shared" si="6"/>
        <v>0.13206283308861</v>
      </c>
    </row>
    <row r="13" spans="1:23" x14ac:dyDescent="0.25">
      <c r="A13" t="s">
        <v>20</v>
      </c>
      <c r="B13">
        <v>2022</v>
      </c>
      <c r="C13" s="15">
        <f>(Raw_Data!C13)/((Raw_Data!D13+Raw_Data!E13)/2)</f>
        <v>3.9072135738335331E-2</v>
      </c>
      <c r="D13" s="15">
        <v>1.3599999999999999E-2</v>
      </c>
      <c r="E13" s="25">
        <f t="shared" si="0"/>
        <v>2.547213573833533E-2</v>
      </c>
      <c r="F13" s="15">
        <v>0.26046171665293805</v>
      </c>
      <c r="G13" s="15">
        <v>0.14779847691232759</v>
      </c>
      <c r="H13" s="25">
        <f t="shared" si="1"/>
        <v>0.11266323974061046</v>
      </c>
      <c r="I13" s="15">
        <v>4.7474893410205464E-2</v>
      </c>
      <c r="J13" s="15">
        <v>5.5551018581034027E-2</v>
      </c>
      <c r="K13" s="25">
        <f t="shared" si="2"/>
        <v>-8.0761251708285631E-3</v>
      </c>
      <c r="L13" s="15">
        <v>0.28821679530659083</v>
      </c>
      <c r="M13" s="15">
        <v>0.20717420868740383</v>
      </c>
      <c r="N13" s="25">
        <f t="shared" si="3"/>
        <v>8.1042586619187007E-2</v>
      </c>
      <c r="O13" s="15">
        <v>2.1999995968030064E-2</v>
      </c>
      <c r="P13" s="15">
        <v>5.6194050619561939E-2</v>
      </c>
      <c r="Q13" s="25">
        <f t="shared" si="4"/>
        <v>-3.4194054651531872E-2</v>
      </c>
      <c r="R13" s="23">
        <v>0.34099255273998375</v>
      </c>
      <c r="S13" s="15">
        <v>0.32789745793346292</v>
      </c>
      <c r="T13" s="25">
        <f t="shared" si="5"/>
        <v>1.3095094806520824E-2</v>
      </c>
      <c r="U13" s="20">
        <v>6.6661755681143378</v>
      </c>
      <c r="V13" s="20">
        <v>6.7294492690870005</v>
      </c>
      <c r="W13" s="20">
        <f t="shared" si="6"/>
        <v>-6.3273700972662716E-2</v>
      </c>
    </row>
    <row r="14" spans="1:23" x14ac:dyDescent="0.25">
      <c r="A14" t="s">
        <v>20</v>
      </c>
      <c r="B14">
        <v>2023</v>
      </c>
      <c r="C14" s="15">
        <f>(Raw_Data!C14)/((Raw_Data!D14+Raw_Data!E14)/2)</f>
        <v>3.7239776422506525E-2</v>
      </c>
      <c r="D14" s="15">
        <v>2.46E-2</v>
      </c>
      <c r="E14" s="25">
        <f t="shared" si="0"/>
        <v>1.2639776422506525E-2</v>
      </c>
      <c r="F14" s="15">
        <v>0.24830679188165411</v>
      </c>
      <c r="G14" s="15">
        <v>0.1749648785179288</v>
      </c>
      <c r="H14" s="25">
        <f t="shared" si="1"/>
        <v>7.3341913363725308E-2</v>
      </c>
      <c r="I14" s="15">
        <v>4.9770128678223176E-2</v>
      </c>
      <c r="J14" s="15">
        <v>5.5331572798977213E-2</v>
      </c>
      <c r="K14" s="25">
        <f t="shared" si="2"/>
        <v>-5.5614441207540374E-3</v>
      </c>
      <c r="L14" s="15">
        <v>0.31975899952722936</v>
      </c>
      <c r="M14" s="15">
        <v>0.51524641258982551</v>
      </c>
      <c r="N14" s="25">
        <f t="shared" si="3"/>
        <v>-0.19548741306259615</v>
      </c>
      <c r="O14" s="15">
        <v>2.000000093999323E-2</v>
      </c>
      <c r="P14" s="15">
        <v>6.8905188663061279E-2</v>
      </c>
      <c r="Q14" s="25">
        <f t="shared" si="4"/>
        <v>-4.8905187723068053E-2</v>
      </c>
      <c r="R14" s="23">
        <v>0.35402158590430044</v>
      </c>
      <c r="S14" s="15">
        <v>0.34558623759141782</v>
      </c>
      <c r="T14" s="25">
        <f t="shared" si="5"/>
        <v>8.4353483128826179E-3</v>
      </c>
      <c r="U14" s="20">
        <v>6.6677841742246722</v>
      </c>
      <c r="V14" s="20">
        <v>6.1013660259662812</v>
      </c>
      <c r="W14" s="20">
        <f t="shared" si="6"/>
        <v>0.56641814825839099</v>
      </c>
    </row>
    <row r="15" spans="1:23" x14ac:dyDescent="0.25">
      <c r="A15" t="s">
        <v>20</v>
      </c>
      <c r="B15">
        <v>2024</v>
      </c>
      <c r="C15" s="15">
        <f>(Raw_Data!C15)/((Raw_Data!D15+Raw_Data!E15)/2)</f>
        <v>3.5857124490320157E-2</v>
      </c>
      <c r="D15" s="15">
        <v>3.0800000000000001E-2</v>
      </c>
      <c r="E15" s="25">
        <f t="shared" si="0"/>
        <v>5.0571244903201557E-3</v>
      </c>
      <c r="F15" s="15">
        <v>0.24400124753272176</v>
      </c>
      <c r="G15" s="15">
        <v>0.19728833417302724</v>
      </c>
      <c r="H15" s="25">
        <f t="shared" si="1"/>
        <v>4.6712913359694519E-2</v>
      </c>
      <c r="I15" s="15">
        <v>4.5832461547134808E-2</v>
      </c>
      <c r="J15" s="15">
        <v>5.296293944328602E-2</v>
      </c>
      <c r="K15" s="25">
        <f t="shared" si="2"/>
        <v>-7.1304778961512119E-3</v>
      </c>
      <c r="L15" s="15">
        <v>0.32834840102209223</v>
      </c>
      <c r="M15" s="15">
        <v>0.42843197364786317</v>
      </c>
      <c r="N15" s="25">
        <f t="shared" si="3"/>
        <v>-0.10008357262577094</v>
      </c>
      <c r="O15" s="15">
        <v>2.2000001712916151E-2</v>
      </c>
      <c r="P15" s="15">
        <v>0.13434615778492351</v>
      </c>
      <c r="Q15" s="25">
        <f t="shared" si="4"/>
        <v>-0.11234615607200736</v>
      </c>
      <c r="R15" s="23">
        <v>0.35317371803065306</v>
      </c>
      <c r="S15" s="15">
        <v>0.35125127050583216</v>
      </c>
      <c r="T15" s="25">
        <f t="shared" si="5"/>
        <v>1.9224475248209028E-3</v>
      </c>
      <c r="U15" s="20">
        <v>6.8048191538223133</v>
      </c>
      <c r="V15" s="20">
        <v>5.9889831557111854</v>
      </c>
      <c r="W15" s="20">
        <f t="shared" si="6"/>
        <v>0.81583599811112784</v>
      </c>
    </row>
    <row r="16" spans="1:23" x14ac:dyDescent="0.25">
      <c r="A16" t="s">
        <v>28</v>
      </c>
      <c r="B16">
        <v>2018</v>
      </c>
      <c r="C16" s="15">
        <f>(Raw_Data!C16)/((Raw_Data!D16+Raw_Data!E16)/2)</f>
        <v>2.7961425948746132E-2</v>
      </c>
      <c r="D16" s="15">
        <v>2.5899999999999999E-2</v>
      </c>
      <c r="E16" s="25">
        <f t="shared" si="0"/>
        <v>2.0614259487461324E-3</v>
      </c>
      <c r="F16" s="15">
        <v>0.16107985529938987</v>
      </c>
      <c r="G16" s="15">
        <v>0.17338681354850852</v>
      </c>
      <c r="H16" s="25">
        <f t="shared" si="1"/>
        <v>-1.2306958249118649E-2</v>
      </c>
      <c r="I16" s="15">
        <v>4.1777183605390893E-2</v>
      </c>
      <c r="J16" s="15">
        <v>6.7418097266389851E-2</v>
      </c>
      <c r="K16" s="25">
        <f t="shared" si="2"/>
        <v>-2.5640913660998958E-2</v>
      </c>
      <c r="L16" s="15">
        <v>0.3726849516452157</v>
      </c>
      <c r="M16" s="15">
        <v>0.47914859191286024</v>
      </c>
      <c r="N16" s="25">
        <f t="shared" si="3"/>
        <v>-0.10646364026764454</v>
      </c>
      <c r="O16" s="15">
        <v>4.4373348929730015E-2</v>
      </c>
      <c r="P16" s="15">
        <v>2.9540774191859197E-2</v>
      </c>
      <c r="Q16" s="25">
        <f t="shared" si="4"/>
        <v>1.4832574737870818E-2</v>
      </c>
      <c r="R16" s="23">
        <v>0.34357605883506304</v>
      </c>
      <c r="S16" s="15">
        <v>0.37976000064459486</v>
      </c>
      <c r="T16" s="25">
        <f t="shared" si="5"/>
        <v>-3.6183941809531828E-2</v>
      </c>
      <c r="U16" s="20">
        <v>5.7607882943685542</v>
      </c>
      <c r="V16" s="20">
        <v>6.7330585068694742</v>
      </c>
      <c r="W16" s="20">
        <f t="shared" si="6"/>
        <v>-0.97227021250091994</v>
      </c>
    </row>
    <row r="17" spans="1:23" x14ac:dyDescent="0.25">
      <c r="A17" t="s">
        <v>28</v>
      </c>
      <c r="B17">
        <v>2019</v>
      </c>
      <c r="C17" s="15">
        <f>(Raw_Data!C17)/((Raw_Data!D17+Raw_Data!E17)/2)</f>
        <v>2.3800156980165792E-2</v>
      </c>
      <c r="D17" s="15">
        <v>2.76E-2</v>
      </c>
      <c r="E17" s="25">
        <f t="shared" si="0"/>
        <v>-3.7998430198342079E-3</v>
      </c>
      <c r="F17" s="15">
        <v>0.14001860562820254</v>
      </c>
      <c r="G17" s="15">
        <v>0.19284874365376911</v>
      </c>
      <c r="H17" s="25">
        <f t="shared" si="1"/>
        <v>-5.2830138025566575E-2</v>
      </c>
      <c r="I17" s="15">
        <v>3.7897766507624886E-2</v>
      </c>
      <c r="J17" s="15">
        <v>6.1215421659503631E-2</v>
      </c>
      <c r="K17" s="25">
        <f t="shared" si="2"/>
        <v>-2.3317655151878745E-2</v>
      </c>
      <c r="L17" s="15">
        <v>0.4384054054054054</v>
      </c>
      <c r="M17" s="15">
        <v>0.49458332180430276</v>
      </c>
      <c r="N17" s="25">
        <f t="shared" si="3"/>
        <v>-5.6177916398897354E-2</v>
      </c>
      <c r="O17" s="15">
        <v>5.3545029182480719E-2</v>
      </c>
      <c r="P17" s="15">
        <v>2.9268536576877134E-2</v>
      </c>
      <c r="Q17" s="25">
        <f t="shared" si="4"/>
        <v>2.4276492605603585E-2</v>
      </c>
      <c r="R17" s="23">
        <v>0.31894295345876017</v>
      </c>
      <c r="S17" s="15">
        <v>0.37657148366191306</v>
      </c>
      <c r="T17" s="25">
        <f t="shared" si="5"/>
        <v>-5.7628530203152895E-2</v>
      </c>
      <c r="U17" s="20">
        <v>5.8830958865056679</v>
      </c>
      <c r="V17" s="20">
        <v>6.862120612500064</v>
      </c>
      <c r="W17" s="20">
        <f t="shared" si="6"/>
        <v>-0.97902472599439605</v>
      </c>
    </row>
    <row r="18" spans="1:23" x14ac:dyDescent="0.25">
      <c r="A18" t="s">
        <v>28</v>
      </c>
      <c r="B18">
        <v>2020</v>
      </c>
      <c r="C18" s="15">
        <f>(Raw_Data!C18)/((Raw_Data!D18+Raw_Data!E18)/2)</f>
        <v>1.2850529890042843E-2</v>
      </c>
      <c r="D18" s="15">
        <v>1.3599999999999999E-2</v>
      </c>
      <c r="E18" s="25">
        <f t="shared" si="0"/>
        <v>-7.4947010995715657E-4</v>
      </c>
      <c r="F18" s="15">
        <v>8.1754786271703614E-2</v>
      </c>
      <c r="G18" s="15">
        <v>0.10012466536405655</v>
      </c>
      <c r="H18" s="25">
        <f t="shared" si="1"/>
        <v>-1.8369879092352936E-2</v>
      </c>
      <c r="I18" s="15">
        <v>2.8858912631146129E-2</v>
      </c>
      <c r="J18" s="15">
        <v>5.015971842075588E-2</v>
      </c>
      <c r="K18" s="25">
        <f t="shared" si="2"/>
        <v>-2.1300805789609752E-2</v>
      </c>
      <c r="L18" s="15">
        <v>0.46910665684254843</v>
      </c>
      <c r="M18" s="15">
        <v>0.53641946573553922</v>
      </c>
      <c r="N18" s="25">
        <f t="shared" si="3"/>
        <v>-6.7312808892990794E-2</v>
      </c>
      <c r="O18" s="15">
        <v>7.5323385252942382E-2</v>
      </c>
      <c r="P18" s="15">
        <v>4.0435122745086635E-2</v>
      </c>
      <c r="Q18" s="25">
        <f t="shared" si="4"/>
        <v>3.4888262507855747E-2</v>
      </c>
      <c r="R18" s="23">
        <v>0.29215391349329511</v>
      </c>
      <c r="S18" s="15">
        <v>0.37030059488706413</v>
      </c>
      <c r="T18" s="25">
        <f t="shared" si="5"/>
        <v>-7.8146681393769013E-2</v>
      </c>
      <c r="U18" s="20">
        <v>6.3619778305835339</v>
      </c>
      <c r="V18" s="20">
        <v>7.3294118752043333</v>
      </c>
      <c r="W18" s="20">
        <f t="shared" si="6"/>
        <v>-0.9674340446207994</v>
      </c>
    </row>
    <row r="19" spans="1:23" x14ac:dyDescent="0.25">
      <c r="A19" t="s">
        <v>28</v>
      </c>
      <c r="B19">
        <v>2021</v>
      </c>
      <c r="C19" s="15">
        <f>(Raw_Data!C19)/((Raw_Data!D19+Raw_Data!E19)/2)</f>
        <v>1.9298209634749083E-2</v>
      </c>
      <c r="D19" s="15">
        <v>2.5600000000000001E-2</v>
      </c>
      <c r="E19" s="25">
        <f t="shared" si="0"/>
        <v>-6.3017903652509179E-3</v>
      </c>
      <c r="F19" s="15">
        <v>0.11685988838322266</v>
      </c>
      <c r="G19" s="15">
        <v>0.18648038362998381</v>
      </c>
      <c r="H19" s="25">
        <f t="shared" si="1"/>
        <v>-6.9620495246761158E-2</v>
      </c>
      <c r="I19" s="15">
        <v>3.3972572042530992E-2</v>
      </c>
      <c r="J19" s="15">
        <v>5.640008103477806E-2</v>
      </c>
      <c r="K19" s="25">
        <f t="shared" si="2"/>
        <v>-2.2427508992247068E-2</v>
      </c>
      <c r="L19" s="15">
        <v>0.49914505038745588</v>
      </c>
      <c r="M19" s="15">
        <v>0.46970865704438464</v>
      </c>
      <c r="N19" s="25">
        <f t="shared" si="3"/>
        <v>2.9436393343071243E-2</v>
      </c>
      <c r="O19" s="15">
        <v>4.7427451023850667E-2</v>
      </c>
      <c r="P19" s="15">
        <v>2.7999129794833634E-2</v>
      </c>
      <c r="Q19" s="25">
        <f t="shared" si="4"/>
        <v>1.9428321229017033E-2</v>
      </c>
      <c r="R19" s="23">
        <v>0.31595597441177753</v>
      </c>
      <c r="S19" s="15">
        <v>0.37702835849850419</v>
      </c>
      <c r="T19" s="25">
        <f t="shared" si="5"/>
        <v>-6.1072384086726661E-2</v>
      </c>
      <c r="U19" s="20">
        <v>6.0554782332139423</v>
      </c>
      <c r="V19" s="20">
        <v>7.1010795674621487</v>
      </c>
      <c r="W19" s="20">
        <f t="shared" si="6"/>
        <v>-1.0456013342482064</v>
      </c>
    </row>
    <row r="20" spans="1:23" x14ac:dyDescent="0.25">
      <c r="A20" t="s">
        <v>28</v>
      </c>
      <c r="B20">
        <v>2022</v>
      </c>
      <c r="C20" s="15">
        <f>(Raw_Data!C20)/((Raw_Data!D20+Raw_Data!E20)/2)</f>
        <v>2.8927202503894023E-2</v>
      </c>
      <c r="D20" s="15">
        <v>1.3599999999999999E-2</v>
      </c>
      <c r="E20" s="25">
        <f t="shared" si="0"/>
        <v>1.5327202503894024E-2</v>
      </c>
      <c r="F20" s="15">
        <v>0.18378441428551928</v>
      </c>
      <c r="G20" s="15">
        <v>0.14779847691232759</v>
      </c>
      <c r="H20" s="25">
        <f t="shared" si="1"/>
        <v>3.5985937373191695E-2</v>
      </c>
      <c r="I20" s="15">
        <v>4.915640060351268E-2</v>
      </c>
      <c r="J20" s="15">
        <v>5.5551018581034027E-2</v>
      </c>
      <c r="K20" s="25">
        <f t="shared" si="2"/>
        <v>-6.3946179775213469E-3</v>
      </c>
      <c r="L20" s="15">
        <v>0.47664688074243483</v>
      </c>
      <c r="M20" s="15">
        <v>0.20717420868740383</v>
      </c>
      <c r="N20" s="25">
        <f t="shared" si="3"/>
        <v>0.269472672055031</v>
      </c>
      <c r="O20" s="15">
        <v>3.9117665084221591E-2</v>
      </c>
      <c r="P20" s="15">
        <v>5.6194050619561939E-2</v>
      </c>
      <c r="Q20" s="25">
        <f t="shared" si="4"/>
        <v>-1.7076385535340348E-2</v>
      </c>
      <c r="R20" s="23">
        <v>0.41429289896045429</v>
      </c>
      <c r="S20" s="15">
        <v>0.32789745793346292</v>
      </c>
      <c r="T20" s="25">
        <f t="shared" si="5"/>
        <v>8.6395441026991371E-2</v>
      </c>
      <c r="U20" s="20">
        <v>6.3533421270438861</v>
      </c>
      <c r="V20" s="20">
        <v>6.7294492690870005</v>
      </c>
      <c r="W20" s="20">
        <f t="shared" si="6"/>
        <v>-0.37610714204311435</v>
      </c>
    </row>
    <row r="21" spans="1:23" x14ac:dyDescent="0.25">
      <c r="A21" t="s">
        <v>28</v>
      </c>
      <c r="B21">
        <v>2023</v>
      </c>
      <c r="C21" s="15">
        <f>(Raw_Data!C21)/((Raw_Data!D21+Raw_Data!E21)/2)</f>
        <v>2.26263652407706E-2</v>
      </c>
      <c r="D21" s="15">
        <v>2.46E-2</v>
      </c>
      <c r="E21" s="25">
        <f t="shared" si="0"/>
        <v>-1.9736347592294E-3</v>
      </c>
      <c r="F21" s="15">
        <v>0.1577738263923589</v>
      </c>
      <c r="G21" s="15">
        <v>0.1749648785179288</v>
      </c>
      <c r="H21" s="25">
        <f t="shared" si="1"/>
        <v>-1.71910521255699E-2</v>
      </c>
      <c r="I21" s="15">
        <v>4.020391833260889E-2</v>
      </c>
      <c r="J21" s="15">
        <v>5.5331572798977213E-2</v>
      </c>
      <c r="K21" s="25">
        <f t="shared" si="2"/>
        <v>-1.5127654466368323E-2</v>
      </c>
      <c r="L21" s="15">
        <v>0.47628706766397361</v>
      </c>
      <c r="M21" s="15">
        <v>0.51524641258982551</v>
      </c>
      <c r="N21" s="25">
        <f t="shared" si="3"/>
        <v>-3.8959344925851902E-2</v>
      </c>
      <c r="O21" s="15">
        <v>3.7015405410966602E-2</v>
      </c>
      <c r="P21" s="15">
        <v>6.8905188663061279E-2</v>
      </c>
      <c r="Q21" s="25">
        <f t="shared" si="4"/>
        <v>-3.1889783252094676E-2</v>
      </c>
      <c r="R21" s="23">
        <v>0.37185755145559468</v>
      </c>
      <c r="S21" s="15">
        <v>0.34558623759141782</v>
      </c>
      <c r="T21" s="25">
        <f t="shared" si="5"/>
        <v>2.627131386417686E-2</v>
      </c>
      <c r="U21" s="20">
        <v>6.9730080246413229</v>
      </c>
      <c r="V21" s="20">
        <v>6.1013660259662812</v>
      </c>
      <c r="W21" s="20">
        <f t="shared" si="6"/>
        <v>0.87164199867504166</v>
      </c>
    </row>
    <row r="22" spans="1:23" x14ac:dyDescent="0.25">
      <c r="A22" t="s">
        <v>28</v>
      </c>
      <c r="B22">
        <v>2024</v>
      </c>
      <c r="C22" s="15">
        <f>(Raw_Data!C22)/((Raw_Data!D22+Raw_Data!E22)/2)</f>
        <v>2.2786899624440887E-2</v>
      </c>
      <c r="D22" s="15">
        <v>3.0800000000000001E-2</v>
      </c>
      <c r="E22" s="25">
        <f t="shared" si="0"/>
        <v>-8.0131003755591138E-3</v>
      </c>
      <c r="F22" s="15">
        <v>0.15162362833193715</v>
      </c>
      <c r="G22" s="15">
        <v>0.19728833417302724</v>
      </c>
      <c r="H22" s="25">
        <f t="shared" si="1"/>
        <v>-4.5664705841090086E-2</v>
      </c>
      <c r="I22" s="15">
        <v>4.0906320306556949E-2</v>
      </c>
      <c r="J22" s="15">
        <v>5.296293944328602E-2</v>
      </c>
      <c r="K22" s="25">
        <f t="shared" si="2"/>
        <v>-1.205661913672907E-2</v>
      </c>
      <c r="L22" s="15">
        <v>0.49179297887379253</v>
      </c>
      <c r="M22" s="15">
        <v>0.42843197364786317</v>
      </c>
      <c r="N22" s="25">
        <f t="shared" si="3"/>
        <v>6.3361005225929357E-2</v>
      </c>
      <c r="O22" s="15">
        <v>3.320656071139625E-2</v>
      </c>
      <c r="P22" s="15">
        <v>0.13434615778492351</v>
      </c>
      <c r="Q22" s="25">
        <f t="shared" si="4"/>
        <v>-0.10113959707352727</v>
      </c>
      <c r="R22" s="23">
        <v>0.38547545298877517</v>
      </c>
      <c r="S22" s="15">
        <v>0.35125127050583216</v>
      </c>
      <c r="T22" s="25">
        <f t="shared" si="5"/>
        <v>3.4224182482943011E-2</v>
      </c>
      <c r="U22" s="20">
        <v>6.6539823684178581</v>
      </c>
      <c r="V22" s="20">
        <v>5.9889831557111854</v>
      </c>
      <c r="W22" s="20">
        <f t="shared" si="6"/>
        <v>0.66499921270667262</v>
      </c>
    </row>
    <row r="23" spans="1:23" x14ac:dyDescent="0.25">
      <c r="A23" t="s">
        <v>29</v>
      </c>
      <c r="B23">
        <v>2018</v>
      </c>
      <c r="C23" s="15">
        <f>(Raw_Data!C23)/((Raw_Data!D23+Raw_Data!E23)/2)</f>
        <v>2.9024340282394714E-2</v>
      </c>
      <c r="D23" s="15">
        <v>2.5899999999999999E-2</v>
      </c>
      <c r="E23" s="25">
        <f t="shared" si="0"/>
        <v>3.124340282394715E-3</v>
      </c>
      <c r="F23" s="15">
        <v>0.16156225119725381</v>
      </c>
      <c r="G23" s="15">
        <v>0.17338681354850852</v>
      </c>
      <c r="H23" s="25">
        <f t="shared" si="1"/>
        <v>-1.1824562351254703E-2</v>
      </c>
      <c r="I23" s="15">
        <v>0.14543076154573192</v>
      </c>
      <c r="J23" s="15">
        <v>6.7418097266389851E-2</v>
      </c>
      <c r="K23" s="25">
        <f t="shared" si="2"/>
        <v>7.8012664279342073E-2</v>
      </c>
      <c r="L23" s="15">
        <v>0.67948706966704076</v>
      </c>
      <c r="M23" s="15">
        <v>0.47914859191286024</v>
      </c>
      <c r="N23" s="25">
        <f t="shared" si="3"/>
        <v>0.20033847775418051</v>
      </c>
      <c r="O23" s="15">
        <v>4.5295676888903718E-3</v>
      </c>
      <c r="P23" s="15">
        <v>2.9540774191859197E-2</v>
      </c>
      <c r="Q23" s="25">
        <f t="shared" si="4"/>
        <v>-2.5011206502968827E-2</v>
      </c>
      <c r="R23" s="23">
        <v>0.49539392589025488</v>
      </c>
      <c r="S23" s="15">
        <v>0.37976000064459486</v>
      </c>
      <c r="T23" s="25">
        <f t="shared" si="5"/>
        <v>0.11563392524566002</v>
      </c>
      <c r="U23" s="20">
        <v>5.5664400852980833</v>
      </c>
      <c r="V23" s="20">
        <v>6.7330585068694742</v>
      </c>
      <c r="W23" s="20">
        <f t="shared" si="6"/>
        <v>-1.1666184215713908</v>
      </c>
    </row>
    <row r="24" spans="1:23" x14ac:dyDescent="0.25">
      <c r="A24" t="s">
        <v>29</v>
      </c>
      <c r="B24">
        <v>2019</v>
      </c>
      <c r="C24" s="15">
        <f>(Raw_Data!C24)/((Raw_Data!D24+Raw_Data!E24)/2)</f>
        <v>3.3062559636903945E-2</v>
      </c>
      <c r="D24" s="15">
        <v>2.76E-2</v>
      </c>
      <c r="E24" s="25">
        <f t="shared" si="0"/>
        <v>5.462559636903945E-3</v>
      </c>
      <c r="F24" s="15">
        <v>0.20937394786738256</v>
      </c>
      <c r="G24" s="15">
        <v>0.19284874365376911</v>
      </c>
      <c r="H24" s="25">
        <f t="shared" si="1"/>
        <v>1.6525204213613448E-2</v>
      </c>
      <c r="I24" s="15">
        <v>0.13488727400936282</v>
      </c>
      <c r="J24" s="15">
        <v>6.1215421659503631E-2</v>
      </c>
      <c r="K24" s="25">
        <f t="shared" si="2"/>
        <v>7.3671852349859179E-2</v>
      </c>
      <c r="L24" s="15">
        <v>0.63086820405911725</v>
      </c>
      <c r="M24" s="15">
        <v>0.49458332180430276</v>
      </c>
      <c r="N24" s="25">
        <f t="shared" si="3"/>
        <v>0.1362848822548145</v>
      </c>
      <c r="O24" s="15">
        <v>4.4341415899075108E-3</v>
      </c>
      <c r="P24" s="15">
        <v>2.9268536576877134E-2</v>
      </c>
      <c r="Q24" s="25">
        <f t="shared" si="4"/>
        <v>-2.4834394986969623E-2</v>
      </c>
      <c r="R24" s="23">
        <v>0.47342173819364192</v>
      </c>
      <c r="S24" s="15">
        <v>0.37657148366191306</v>
      </c>
      <c r="T24" s="25">
        <f t="shared" si="5"/>
        <v>9.6850254531728852E-2</v>
      </c>
      <c r="U24" s="20">
        <v>6.3326599684581719</v>
      </c>
      <c r="V24" s="20">
        <v>6.862120612500064</v>
      </c>
      <c r="W24" s="20">
        <f t="shared" si="6"/>
        <v>-0.52946064404189208</v>
      </c>
    </row>
    <row r="25" spans="1:23" x14ac:dyDescent="0.25">
      <c r="A25" t="s">
        <v>29</v>
      </c>
      <c r="B25">
        <v>2020</v>
      </c>
      <c r="C25" s="15">
        <f>(Raw_Data!C25)/((Raw_Data!D25+Raw_Data!E25)/2)</f>
        <v>9.1995275689286757E-3</v>
      </c>
      <c r="D25" s="15">
        <v>1.3599999999999999E-2</v>
      </c>
      <c r="E25" s="25">
        <f t="shared" si="0"/>
        <v>-4.4004724310713235E-3</v>
      </c>
      <c r="F25" s="15">
        <v>6.8650695801167144E-2</v>
      </c>
      <c r="G25" s="15">
        <v>0.10012466536405655</v>
      </c>
      <c r="H25" s="25">
        <f t="shared" si="1"/>
        <v>-3.1473969562889406E-2</v>
      </c>
      <c r="I25" s="15">
        <v>0.10641391265447632</v>
      </c>
      <c r="J25" s="15">
        <v>5.015971842075588E-2</v>
      </c>
      <c r="K25" s="25">
        <f t="shared" si="2"/>
        <v>5.6254194233720439E-2</v>
      </c>
      <c r="L25" s="15">
        <v>0.66233793479629088</v>
      </c>
      <c r="M25" s="15">
        <v>0.53641946573553922</v>
      </c>
      <c r="N25" s="25">
        <f t="shared" si="3"/>
        <v>0.12591846906075166</v>
      </c>
      <c r="O25" s="15">
        <v>1.1491233154886229E-2</v>
      </c>
      <c r="P25" s="15">
        <v>4.0435122745086635E-2</v>
      </c>
      <c r="Q25" s="25">
        <f t="shared" si="4"/>
        <v>-2.8943889590200406E-2</v>
      </c>
      <c r="R25" s="23">
        <v>0.45311274123553941</v>
      </c>
      <c r="S25" s="15">
        <v>0.37030059488706413</v>
      </c>
      <c r="T25" s="25">
        <f t="shared" si="5"/>
        <v>8.281214634847528E-2</v>
      </c>
      <c r="U25" s="20">
        <v>7.4624153563096298</v>
      </c>
      <c r="V25" s="20">
        <v>7.3294118752043333</v>
      </c>
      <c r="W25" s="20">
        <f t="shared" si="6"/>
        <v>0.13300348110529647</v>
      </c>
    </row>
    <row r="26" spans="1:23" x14ac:dyDescent="0.25">
      <c r="A26" t="s">
        <v>29</v>
      </c>
      <c r="B26">
        <v>2021</v>
      </c>
      <c r="C26" s="15">
        <f>(Raw_Data!C26)/((Raw_Data!D26+Raw_Data!E26)/2)</f>
        <v>2.3643813770991857E-2</v>
      </c>
      <c r="D26" s="15">
        <v>2.5600000000000001E-2</v>
      </c>
      <c r="E26" s="25">
        <f t="shared" si="0"/>
        <v>-1.9561862290081444E-3</v>
      </c>
      <c r="F26" s="15">
        <v>0.18925167998886452</v>
      </c>
      <c r="G26" s="15">
        <v>0.18648038362998381</v>
      </c>
      <c r="H26" s="25">
        <f t="shared" si="1"/>
        <v>2.7712963588807094E-3</v>
      </c>
      <c r="I26" s="15">
        <v>0.12245189762376774</v>
      </c>
      <c r="J26" s="15">
        <v>5.640008103477806E-2</v>
      </c>
      <c r="K26" s="25">
        <f t="shared" si="2"/>
        <v>6.6051816588989676E-2</v>
      </c>
      <c r="L26" s="15">
        <v>0.587751247807905</v>
      </c>
      <c r="M26" s="15">
        <v>0.46970865704438464</v>
      </c>
      <c r="N26" s="25">
        <f t="shared" si="3"/>
        <v>0.11804259076352036</v>
      </c>
      <c r="O26" s="15">
        <v>1.6477374697275123E-2</v>
      </c>
      <c r="P26" s="15">
        <v>2.7999129794833634E-2</v>
      </c>
      <c r="Q26" s="25">
        <f t="shared" si="4"/>
        <v>-1.1521755097558511E-2</v>
      </c>
      <c r="R26" s="23">
        <v>0.47910346728703501</v>
      </c>
      <c r="S26" s="15">
        <v>0.37702835849850419</v>
      </c>
      <c r="T26" s="25">
        <f t="shared" si="5"/>
        <v>0.10207510878853082</v>
      </c>
      <c r="U26" s="20">
        <v>8.0042789129498981</v>
      </c>
      <c r="V26" s="20">
        <v>7.1010795674621487</v>
      </c>
      <c r="W26" s="20">
        <f t="shared" si="6"/>
        <v>0.90319934548774938</v>
      </c>
    </row>
    <row r="27" spans="1:23" x14ac:dyDescent="0.25">
      <c r="A27" t="s">
        <v>29</v>
      </c>
      <c r="B27">
        <v>2022</v>
      </c>
      <c r="C27" s="15">
        <f>(Raw_Data!C27)/((Raw_Data!D27+Raw_Data!E27)/2)</f>
        <v>2.2934850182330817E-2</v>
      </c>
      <c r="D27" s="15">
        <v>1.3599999999999999E-2</v>
      </c>
      <c r="E27" s="25">
        <f t="shared" si="0"/>
        <v>9.3348501823308176E-3</v>
      </c>
      <c r="F27" s="15">
        <v>0.1849828052854568</v>
      </c>
      <c r="G27" s="15">
        <v>0.14779847691232759</v>
      </c>
      <c r="H27" s="25">
        <f t="shared" si="1"/>
        <v>3.7184328373129211E-2</v>
      </c>
      <c r="I27" s="15">
        <v>0.11160771468480243</v>
      </c>
      <c r="J27" s="15">
        <v>5.5551018581034027E-2</v>
      </c>
      <c r="K27" s="25">
        <f t="shared" si="2"/>
        <v>5.6056696103768407E-2</v>
      </c>
      <c r="L27" s="15">
        <v>0.58438311453400971</v>
      </c>
      <c r="M27" s="15">
        <v>0.20717420868740383</v>
      </c>
      <c r="N27" s="25">
        <f t="shared" si="3"/>
        <v>0.37720890584660588</v>
      </c>
      <c r="O27" s="15">
        <v>9.7720632905248864E-3</v>
      </c>
      <c r="P27" s="15">
        <v>5.6194050619561939E-2</v>
      </c>
      <c r="Q27" s="25">
        <f t="shared" si="4"/>
        <v>-4.6421987329037052E-2</v>
      </c>
      <c r="R27" s="23">
        <v>0.45466890920338793</v>
      </c>
      <c r="S27" s="15">
        <v>0.32789745793346292</v>
      </c>
      <c r="T27" s="25">
        <f t="shared" si="5"/>
        <v>0.12677145126992501</v>
      </c>
      <c r="U27" s="20">
        <v>8.0655772248283082</v>
      </c>
      <c r="V27" s="20">
        <v>6.7294492690870005</v>
      </c>
      <c r="W27" s="20">
        <f t="shared" si="6"/>
        <v>1.3361279557413077</v>
      </c>
    </row>
    <row r="28" spans="1:23" x14ac:dyDescent="0.25">
      <c r="A28" t="s">
        <v>29</v>
      </c>
      <c r="B28">
        <v>2023</v>
      </c>
      <c r="C28" s="15">
        <f>(Raw_Data!C28)/((Raw_Data!D28+Raw_Data!E28)/2)</f>
        <v>1.7637756728815141E-2</v>
      </c>
      <c r="D28" s="15">
        <v>2.46E-2</v>
      </c>
      <c r="E28" s="25">
        <f t="shared" si="0"/>
        <v>-6.9622432711848592E-3</v>
      </c>
      <c r="F28" s="15">
        <v>0.14375715320726187</v>
      </c>
      <c r="G28" s="15">
        <v>0.1749648785179288</v>
      </c>
      <c r="H28" s="25">
        <f t="shared" si="1"/>
        <v>-3.1207725310666928E-2</v>
      </c>
      <c r="I28" s="15">
        <v>0.10901716517495295</v>
      </c>
      <c r="J28" s="15">
        <v>5.5331572798977213E-2</v>
      </c>
      <c r="K28" s="25">
        <f t="shared" si="2"/>
        <v>5.3685592375975741E-2</v>
      </c>
      <c r="L28" s="15">
        <v>0.61014925373134332</v>
      </c>
      <c r="M28" s="15">
        <v>0.51524641258982551</v>
      </c>
      <c r="N28" s="25">
        <f t="shared" si="3"/>
        <v>9.4902841141517813E-2</v>
      </c>
      <c r="O28" s="15">
        <v>9.7530937963094186E-3</v>
      </c>
      <c r="P28" s="15">
        <v>6.8905188663061279E-2</v>
      </c>
      <c r="Q28" s="25">
        <f t="shared" si="4"/>
        <v>-5.915209486675186E-2</v>
      </c>
      <c r="R28" s="23">
        <v>0.43481409672145049</v>
      </c>
      <c r="S28" s="15">
        <v>0.34558623759141782</v>
      </c>
      <c r="T28" s="25">
        <f t="shared" si="5"/>
        <v>8.9227859130032672E-2</v>
      </c>
      <c r="U28" s="20">
        <v>8.1505349811522834</v>
      </c>
      <c r="V28" s="20">
        <v>6.1013660259662812</v>
      </c>
      <c r="W28" s="20">
        <f t="shared" si="6"/>
        <v>2.0491689551860022</v>
      </c>
    </row>
    <row r="29" spans="1:23" x14ac:dyDescent="0.25">
      <c r="A29" t="s">
        <v>29</v>
      </c>
      <c r="B29">
        <v>2024</v>
      </c>
      <c r="C29" s="15">
        <f>(Raw_Data!C29)/((Raw_Data!D29+Raw_Data!E29)/2)</f>
        <v>2.4772791202616915E-2</v>
      </c>
      <c r="D29" s="15">
        <v>3.0800000000000001E-2</v>
      </c>
      <c r="E29" s="25">
        <f t="shared" si="0"/>
        <v>-6.0272087973830858E-3</v>
      </c>
      <c r="F29" s="15">
        <v>0.20044585726723971</v>
      </c>
      <c r="G29" s="15">
        <v>0.19728833417302724</v>
      </c>
      <c r="H29" s="25">
        <f t="shared" si="1"/>
        <v>3.1575230942124666E-3</v>
      </c>
      <c r="I29" s="15">
        <v>0.10921224293331802</v>
      </c>
      <c r="J29" s="15">
        <v>5.296293944328602E-2</v>
      </c>
      <c r="K29" s="25">
        <f t="shared" si="2"/>
        <v>5.6249303490032002E-2</v>
      </c>
      <c r="L29" s="15">
        <v>0.56570133226329045</v>
      </c>
      <c r="M29" s="15">
        <v>0.42843197364786317</v>
      </c>
      <c r="N29" s="25">
        <f t="shared" si="3"/>
        <v>0.13726935861542727</v>
      </c>
      <c r="O29" s="15">
        <v>8.0391131961413832E-3</v>
      </c>
      <c r="P29" s="15">
        <v>0.13434615778492351</v>
      </c>
      <c r="Q29" s="25">
        <f t="shared" si="4"/>
        <v>-0.12630704458878211</v>
      </c>
      <c r="R29" s="23">
        <v>0.45905204398547106</v>
      </c>
      <c r="S29" s="15">
        <v>0.35125127050583216</v>
      </c>
      <c r="T29" s="25">
        <f t="shared" si="5"/>
        <v>0.1078007734796389</v>
      </c>
      <c r="U29" s="20">
        <v>8.0913715224009675</v>
      </c>
      <c r="V29" s="20">
        <v>5.9889831557111854</v>
      </c>
      <c r="W29" s="20">
        <f t="shared" si="6"/>
        <v>2.102388366689782</v>
      </c>
    </row>
    <row r="30" spans="1:23" x14ac:dyDescent="0.25">
      <c r="A30" t="s">
        <v>30</v>
      </c>
      <c r="B30">
        <v>2018</v>
      </c>
      <c r="C30" s="15">
        <f>(Raw_Data!C30)/((Raw_Data!D30+Raw_Data!E30)/2)</f>
        <v>1.6608555109939464E-2</v>
      </c>
      <c r="D30" s="15">
        <v>2.5899999999999999E-2</v>
      </c>
      <c r="E30" s="25">
        <f t="shared" si="0"/>
        <v>-9.2914448900605351E-3</v>
      </c>
      <c r="F30" s="15">
        <v>0.11162033595033022</v>
      </c>
      <c r="G30" s="15">
        <v>0.17338681354850852</v>
      </c>
      <c r="H30" s="25">
        <f t="shared" si="1"/>
        <v>-6.1766477598178299E-2</v>
      </c>
      <c r="I30" s="15">
        <v>4.1698572813035892E-2</v>
      </c>
      <c r="J30" s="15">
        <v>6.7418097266389851E-2</v>
      </c>
      <c r="K30" s="25">
        <f t="shared" si="2"/>
        <v>-2.5719524453353959E-2</v>
      </c>
      <c r="L30" s="15">
        <v>0.61266357619872447</v>
      </c>
      <c r="M30" s="15">
        <v>0.47914859191286024</v>
      </c>
      <c r="N30" s="25">
        <f t="shared" si="3"/>
        <v>0.13351498428586422</v>
      </c>
      <c r="O30" s="15">
        <v>3.2177288093151374E-2</v>
      </c>
      <c r="P30" s="15">
        <v>2.9540774191859197E-2</v>
      </c>
      <c r="Q30" s="25">
        <f t="shared" si="4"/>
        <v>2.6365139012921764E-3</v>
      </c>
      <c r="R30" s="23">
        <v>0.34702598765251397</v>
      </c>
      <c r="S30" s="15">
        <v>0.37976000064459486</v>
      </c>
      <c r="T30" s="25">
        <f t="shared" si="5"/>
        <v>-3.2734012992080896E-2</v>
      </c>
      <c r="U30" s="20">
        <v>6.7206530135502591</v>
      </c>
      <c r="V30" s="20">
        <v>6.7330585068694742</v>
      </c>
      <c r="W30" s="20">
        <f t="shared" si="6"/>
        <v>-1.2405493319215033E-2</v>
      </c>
    </row>
    <row r="31" spans="1:23" x14ac:dyDescent="0.25">
      <c r="A31" t="s">
        <v>30</v>
      </c>
      <c r="B31">
        <v>2019</v>
      </c>
      <c r="C31" s="15">
        <f>(Raw_Data!C31)/((Raw_Data!D31+Raw_Data!E31)/2)</f>
        <v>1.7819168526635329E-2</v>
      </c>
      <c r="D31" s="15">
        <v>2.76E-2</v>
      </c>
      <c r="E31" s="25">
        <f t="shared" si="0"/>
        <v>-9.7808314733646706E-3</v>
      </c>
      <c r="F31" s="15">
        <v>0.11047436590015909</v>
      </c>
      <c r="G31" s="15">
        <v>0.19284874365376911</v>
      </c>
      <c r="H31" s="25">
        <f t="shared" si="1"/>
        <v>-8.237437775361002E-2</v>
      </c>
      <c r="I31" s="15">
        <v>3.8587737321920598E-2</v>
      </c>
      <c r="J31" s="15">
        <v>6.1215421659503631E-2</v>
      </c>
      <c r="K31" s="25">
        <f t="shared" si="2"/>
        <v>-2.2627684337583033E-2</v>
      </c>
      <c r="L31" s="15">
        <v>0.65468674113647407</v>
      </c>
      <c r="M31" s="15">
        <v>0.49458332180430276</v>
      </c>
      <c r="N31" s="25">
        <f t="shared" si="3"/>
        <v>0.16010341933217132</v>
      </c>
      <c r="O31" s="15">
        <v>3.9430533975510537E-2</v>
      </c>
      <c r="P31" s="15">
        <v>2.9268536576877134E-2</v>
      </c>
      <c r="Q31" s="25">
        <f t="shared" si="4"/>
        <v>1.0161997398633403E-2</v>
      </c>
      <c r="R31" s="23">
        <v>0.35536410570890109</v>
      </c>
      <c r="S31" s="15">
        <v>0.37657148366191306</v>
      </c>
      <c r="T31" s="25">
        <f t="shared" si="5"/>
        <v>-2.1207377953011974E-2</v>
      </c>
      <c r="U31" s="20">
        <v>6.1997486434356768</v>
      </c>
      <c r="V31" s="20">
        <v>6.862120612500064</v>
      </c>
      <c r="W31" s="20">
        <f t="shared" si="6"/>
        <v>-0.66237196906438722</v>
      </c>
    </row>
    <row r="32" spans="1:23" x14ac:dyDescent="0.25">
      <c r="A32" t="s">
        <v>30</v>
      </c>
      <c r="B32">
        <v>2020</v>
      </c>
      <c r="C32" s="15">
        <f>(Raw_Data!C32)/((Raw_Data!D32+Raw_Data!E32)/2)</f>
        <v>1.3977967721537367E-2</v>
      </c>
      <c r="D32" s="15">
        <v>1.3599999999999999E-2</v>
      </c>
      <c r="E32" s="25">
        <f t="shared" si="0"/>
        <v>3.7796772153736793E-4</v>
      </c>
      <c r="F32" s="15">
        <v>9.0157710181807141E-2</v>
      </c>
      <c r="G32" s="15">
        <v>0.10012466536405655</v>
      </c>
      <c r="H32" s="25">
        <f t="shared" si="1"/>
        <v>-9.9669551822494096E-3</v>
      </c>
      <c r="I32" s="15">
        <v>3.669569717298559E-2</v>
      </c>
      <c r="J32" s="15">
        <v>5.015971842075588E-2</v>
      </c>
      <c r="K32" s="25">
        <f t="shared" si="2"/>
        <v>-1.346402124777029E-2</v>
      </c>
      <c r="L32" s="15">
        <v>0.8240418118466899</v>
      </c>
      <c r="M32" s="15">
        <v>0.53641946573553922</v>
      </c>
      <c r="N32" s="25">
        <f t="shared" si="3"/>
        <v>0.28762234611115067</v>
      </c>
      <c r="O32" s="15">
        <v>2.8643281820611027E-2</v>
      </c>
      <c r="P32" s="15">
        <v>4.0435122745086635E-2</v>
      </c>
      <c r="Q32" s="25">
        <f t="shared" si="4"/>
        <v>-1.1791840924475609E-2</v>
      </c>
      <c r="R32" s="23">
        <v>0.37596620465002628</v>
      </c>
      <c r="S32" s="15">
        <v>0.37030059488706413</v>
      </c>
      <c r="T32" s="25">
        <f t="shared" si="5"/>
        <v>5.6656097629621538E-3</v>
      </c>
      <c r="U32" s="20">
        <v>6.4499870065439771</v>
      </c>
      <c r="V32" s="20">
        <v>7.3294118752043333</v>
      </c>
      <c r="W32" s="20">
        <f t="shared" si="6"/>
        <v>-0.8794248686603563</v>
      </c>
    </row>
    <row r="33" spans="1:23" x14ac:dyDescent="0.25">
      <c r="A33" t="s">
        <v>30</v>
      </c>
      <c r="B33">
        <v>2021</v>
      </c>
      <c r="C33" s="15">
        <f>(Raw_Data!C33)/((Raw_Data!D33+Raw_Data!E33)/2)</f>
        <v>1.5594358599145396E-2</v>
      </c>
      <c r="D33" s="15">
        <v>2.5600000000000001E-2</v>
      </c>
      <c r="E33" s="25">
        <f t="shared" si="0"/>
        <v>-1.0005641400854606E-2</v>
      </c>
      <c r="F33" s="15">
        <v>9.515332434841875E-2</v>
      </c>
      <c r="G33" s="15">
        <v>0.18648038362998381</v>
      </c>
      <c r="H33" s="25">
        <f t="shared" si="1"/>
        <v>-9.1327059281565065E-2</v>
      </c>
      <c r="I33" s="15">
        <v>4.0806805645070658E-2</v>
      </c>
      <c r="J33" s="15">
        <v>5.640008103477806E-2</v>
      </c>
      <c r="K33" s="25">
        <f t="shared" si="2"/>
        <v>-1.5593275389707402E-2</v>
      </c>
      <c r="L33" s="15">
        <v>0.58261710820686019</v>
      </c>
      <c r="M33" s="15">
        <v>0.46970865704438464</v>
      </c>
      <c r="N33" s="25">
        <f t="shared" si="3"/>
        <v>0.11290845116247555</v>
      </c>
      <c r="O33" s="15">
        <v>2.6309514246480203E-2</v>
      </c>
      <c r="P33" s="15">
        <v>2.7999129794833634E-2</v>
      </c>
      <c r="Q33" s="25">
        <f t="shared" si="4"/>
        <v>-1.6896155483534306E-3</v>
      </c>
      <c r="R33" s="23">
        <v>0.3626191825060609</v>
      </c>
      <c r="S33" s="15">
        <v>0.37702835849850419</v>
      </c>
      <c r="T33" s="25">
        <f t="shared" si="5"/>
        <v>-1.4409175992443291E-2</v>
      </c>
      <c r="U33" s="20">
        <v>6.1017786492118606</v>
      </c>
      <c r="V33" s="20">
        <v>7.1010795674621487</v>
      </c>
      <c r="W33" s="20">
        <f t="shared" si="6"/>
        <v>-0.99930091825028811</v>
      </c>
    </row>
    <row r="34" spans="1:23" x14ac:dyDescent="0.25">
      <c r="A34" t="s">
        <v>30</v>
      </c>
      <c r="B34">
        <v>2022</v>
      </c>
      <c r="C34" s="15">
        <f>(Raw_Data!C34)/((Raw_Data!D34+Raw_Data!E34)/2)</f>
        <v>-6.1564123032468845E-2</v>
      </c>
      <c r="D34" s="15">
        <v>1.3599999999999999E-2</v>
      </c>
      <c r="E34" s="25">
        <f t="shared" si="0"/>
        <v>-7.5164123032468846E-2</v>
      </c>
      <c r="F34" s="15">
        <v>-0.23004593375463364</v>
      </c>
      <c r="G34" s="15">
        <v>0.14779847691232759</v>
      </c>
      <c r="H34" s="25">
        <f t="shared" si="1"/>
        <v>-0.37784441066696123</v>
      </c>
      <c r="I34" s="15">
        <v>2.3925149366415276E-2</v>
      </c>
      <c r="J34" s="15">
        <v>5.5551018581034027E-2</v>
      </c>
      <c r="K34" s="25">
        <f t="shared" si="2"/>
        <v>-3.1625869214618754E-2</v>
      </c>
      <c r="L34" s="15">
        <v>-0.61455105303673296</v>
      </c>
      <c r="M34" s="15">
        <v>0.20717420868740383</v>
      </c>
      <c r="N34" s="25">
        <f t="shared" si="3"/>
        <v>-0.82172526172413685</v>
      </c>
      <c r="O34" s="15">
        <v>0.18244778541033663</v>
      </c>
      <c r="P34" s="15">
        <v>5.6194050619561939E-2</v>
      </c>
      <c r="Q34" s="25">
        <f t="shared" si="4"/>
        <v>0.12625373479077467</v>
      </c>
      <c r="R34" s="23">
        <v>9.8082134859481931E-2</v>
      </c>
      <c r="S34" s="15">
        <v>0.32789745793346292</v>
      </c>
      <c r="T34" s="25">
        <f t="shared" si="5"/>
        <v>-0.229815323073981</v>
      </c>
      <c r="U34" s="20">
        <v>3.7366882272213591</v>
      </c>
      <c r="V34" s="20">
        <v>6.7294492690870005</v>
      </c>
      <c r="W34" s="20">
        <f t="shared" si="6"/>
        <v>-2.9927610418656414</v>
      </c>
    </row>
    <row r="35" spans="1:23" x14ac:dyDescent="0.25">
      <c r="A35" t="s">
        <v>30</v>
      </c>
      <c r="B35">
        <v>2023</v>
      </c>
      <c r="C35" s="15">
        <f>(Raw_Data!C35)/((Raw_Data!D35+Raw_Data!E35)/2)</f>
        <v>8.5170442023947798E-4</v>
      </c>
      <c r="D35" s="15">
        <v>2.46E-2</v>
      </c>
      <c r="E35" s="25">
        <f t="shared" si="0"/>
        <v>-2.3748295579760523E-2</v>
      </c>
      <c r="F35" s="15">
        <v>1.2455510473527369E-3</v>
      </c>
      <c r="G35" s="15">
        <v>0.1749648785179288</v>
      </c>
      <c r="H35" s="25">
        <f t="shared" si="1"/>
        <v>-0.17371932747057606</v>
      </c>
      <c r="I35" s="15">
        <v>2.4588706612313729E-2</v>
      </c>
      <c r="J35" s="15">
        <v>5.5331572798977213E-2</v>
      </c>
      <c r="K35" s="25">
        <f t="shared" si="2"/>
        <v>-3.0742866186663484E-2</v>
      </c>
      <c r="L35" s="15">
        <v>0.88861966546818816</v>
      </c>
      <c r="M35" s="15">
        <v>0.51524641258982551</v>
      </c>
      <c r="N35" s="25">
        <f t="shared" si="3"/>
        <v>0.37337325287836265</v>
      </c>
      <c r="O35" s="15">
        <v>0.25560925997214973</v>
      </c>
      <c r="P35" s="15">
        <v>6.8905188663061279E-2</v>
      </c>
      <c r="Q35" s="25">
        <f t="shared" si="4"/>
        <v>0.18670407130908845</v>
      </c>
      <c r="R35" s="23">
        <v>0.224009973458761</v>
      </c>
      <c r="S35" s="15">
        <v>0.34558623759141782</v>
      </c>
      <c r="T35" s="25">
        <f t="shared" si="5"/>
        <v>-0.12157626413265682</v>
      </c>
      <c r="U35" s="20">
        <v>1.462421724901368</v>
      </c>
      <c r="V35" s="20">
        <v>6.1013660259662812</v>
      </c>
      <c r="W35" s="20">
        <f t="shared" si="6"/>
        <v>-4.638944301064913</v>
      </c>
    </row>
    <row r="36" spans="1:23" x14ac:dyDescent="0.25">
      <c r="A36" t="s">
        <v>30</v>
      </c>
      <c r="B36">
        <v>2024</v>
      </c>
      <c r="C36" s="15">
        <f>(Raw_Data!C36)/((Raw_Data!D36+Raw_Data!E36)/2)</f>
        <v>1.8616862317124193E-2</v>
      </c>
      <c r="D36" s="15">
        <v>3.0800000000000001E-2</v>
      </c>
      <c r="E36" s="25">
        <f t="shared" si="0"/>
        <v>-1.2183137682875808E-2</v>
      </c>
      <c r="F36" s="15">
        <v>2.5800593014819236E-2</v>
      </c>
      <c r="G36" s="15">
        <v>0.19728833417302724</v>
      </c>
      <c r="H36" s="25">
        <f t="shared" si="1"/>
        <v>-0.171487741158208</v>
      </c>
      <c r="I36" s="15">
        <v>1.6710902928890669E-2</v>
      </c>
      <c r="J36" s="15">
        <v>5.296293944328602E-2</v>
      </c>
      <c r="K36" s="25">
        <f t="shared" si="2"/>
        <v>-3.6252036514395347E-2</v>
      </c>
      <c r="L36" s="15">
        <v>0.46653294943547602</v>
      </c>
      <c r="M36" s="15">
        <v>0.42843197364786317</v>
      </c>
      <c r="N36" s="25">
        <f t="shared" si="3"/>
        <v>3.8100975787612845E-2</v>
      </c>
      <c r="O36" s="15">
        <v>0.58546942794719514</v>
      </c>
      <c r="P36" s="15">
        <v>0.13434615778492351</v>
      </c>
      <c r="Q36" s="25">
        <f t="shared" si="4"/>
        <v>0.45112327016227161</v>
      </c>
      <c r="R36" s="23">
        <v>0.21581171511994704</v>
      </c>
      <c r="S36" s="15">
        <v>0.35125127050583216</v>
      </c>
      <c r="T36" s="25">
        <f t="shared" si="5"/>
        <v>-0.13543955538588512</v>
      </c>
      <c r="U36" s="20">
        <v>1.3858722579200304</v>
      </c>
      <c r="V36" s="20">
        <v>5.9889831557111854</v>
      </c>
      <c r="W36" s="20">
        <f t="shared" si="6"/>
        <v>-4.6031108977911552</v>
      </c>
    </row>
  </sheetData>
  <conditionalFormatting sqref="E2:E36">
    <cfRule type="cellIs" dxfId="103" priority="16" operator="lessThan">
      <formula>0</formula>
    </cfRule>
    <cfRule type="cellIs" dxfId="102" priority="17" operator="greaterThan">
      <formula>0</formula>
    </cfRule>
  </conditionalFormatting>
  <conditionalFormatting sqref="H2:H36">
    <cfRule type="cellIs" dxfId="101" priority="14" operator="lessThan">
      <formula>0</formula>
    </cfRule>
    <cfRule type="cellIs" dxfId="100" priority="15" operator="greaterThan">
      <formula>0</formula>
    </cfRule>
  </conditionalFormatting>
  <conditionalFormatting sqref="K2:K36">
    <cfRule type="cellIs" dxfId="99" priority="12" operator="greaterThan">
      <formula>0</formula>
    </cfRule>
    <cfRule type="cellIs" dxfId="98" priority="13" operator="lessThan">
      <formula>0</formula>
    </cfRule>
  </conditionalFormatting>
  <conditionalFormatting sqref="N2:N36">
    <cfRule type="cellIs" dxfId="97" priority="9" operator="lessThan">
      <formula>0</formula>
    </cfRule>
    <cfRule type="cellIs" dxfId="96" priority="10" operator="greaterThan">
      <formula>0</formula>
    </cfRule>
    <cfRule type="cellIs" dxfId="95" priority="11" operator="greaterThan">
      <formula>0</formula>
    </cfRule>
  </conditionalFormatting>
  <conditionalFormatting sqref="Q2:Q36">
    <cfRule type="cellIs" dxfId="94" priority="7" operator="lessThan">
      <formula>0</formula>
    </cfRule>
    <cfRule type="cellIs" dxfId="93" priority="8" operator="greaterThan">
      <formula>0</formula>
    </cfRule>
  </conditionalFormatting>
  <conditionalFormatting sqref="T2:T36">
    <cfRule type="cellIs" dxfId="92" priority="3" operator="lessThan">
      <formula>0</formula>
    </cfRule>
    <cfRule type="cellIs" dxfId="91" priority="4" operator="greaterThan">
      <formula>0</formula>
    </cfRule>
    <cfRule type="cellIs" dxfId="90" priority="5" operator="lessThan">
      <formula>0</formula>
    </cfRule>
    <cfRule type="cellIs" dxfId="89" priority="6" operator="greaterThan">
      <formula>0</formula>
    </cfRule>
  </conditionalFormatting>
  <conditionalFormatting sqref="W2:W36">
    <cfRule type="cellIs" dxfId="88" priority="1" operator="lessThan">
      <formula>0</formula>
    </cfRule>
    <cfRule type="cellIs" dxfId="87" priority="2" operator="greaterThan">
      <formula>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6990-7836-4450-A207-E20A7C7D1F0A}">
  <dimension ref="A1:H74"/>
  <sheetViews>
    <sheetView topLeftCell="E54" zoomScale="62" zoomScaleNormal="70" workbookViewId="0">
      <selection activeCell="K58" sqref="K58"/>
    </sheetView>
  </sheetViews>
  <sheetFormatPr defaultRowHeight="15" x14ac:dyDescent="0.25"/>
  <cols>
    <col min="1" max="1" width="15.140625" bestFit="1" customWidth="1"/>
    <col min="7" max="7" width="11.42578125" bestFit="1" customWidth="1"/>
    <col min="8" max="8" width="24.85546875" bestFit="1" customWidth="1"/>
  </cols>
  <sheetData>
    <row r="1" spans="1:8" x14ac:dyDescent="0.25">
      <c r="A1" s="18" t="s">
        <v>75</v>
      </c>
      <c r="B1" s="18" t="s">
        <v>28</v>
      </c>
      <c r="C1" s="18" t="s">
        <v>12</v>
      </c>
      <c r="D1" s="18" t="s">
        <v>29</v>
      </c>
      <c r="E1" s="18" t="s">
        <v>20</v>
      </c>
      <c r="F1" s="18" t="s">
        <v>30</v>
      </c>
      <c r="G1" s="19" t="s">
        <v>78</v>
      </c>
      <c r="H1" s="56" t="s">
        <v>53</v>
      </c>
    </row>
    <row r="2" spans="1:8" x14ac:dyDescent="0.25">
      <c r="A2" s="17">
        <v>2018</v>
      </c>
      <c r="B2" s="15">
        <v>2.7961425948746132E-2</v>
      </c>
      <c r="C2" s="15">
        <v>2.5311241183831466E-2</v>
      </c>
      <c r="D2" s="15">
        <v>2.9024340282394714E-2</v>
      </c>
      <c r="E2" s="15">
        <v>3.0524740220934873E-2</v>
      </c>
      <c r="F2" s="15">
        <v>1.6608555109939464E-2</v>
      </c>
      <c r="G2" s="15">
        <v>2.5899999999999999E-2</v>
      </c>
    </row>
    <row r="3" spans="1:8" x14ac:dyDescent="0.25">
      <c r="A3" s="17">
        <v>2019</v>
      </c>
      <c r="B3" s="15">
        <v>2.3800156980165792E-2</v>
      </c>
      <c r="C3" s="15">
        <v>3.1229029546552618E-2</v>
      </c>
      <c r="D3" s="15">
        <v>3.3062559636903945E-2</v>
      </c>
      <c r="E3" s="15">
        <v>3.2327783469343417E-2</v>
      </c>
      <c r="F3" s="15">
        <v>1.7819168526635329E-2</v>
      </c>
      <c r="G3" s="15">
        <v>2.76E-2</v>
      </c>
    </row>
    <row r="4" spans="1:8" x14ac:dyDescent="0.25">
      <c r="A4" s="17">
        <v>2020</v>
      </c>
      <c r="B4" s="15">
        <v>1.2850529890042843E-2</v>
      </c>
      <c r="C4" s="15">
        <v>1.5289913238280335E-2</v>
      </c>
      <c r="D4" s="15">
        <v>9.1995275689286757E-3</v>
      </c>
      <c r="E4" s="15">
        <v>1.6570701117635468E-2</v>
      </c>
      <c r="F4" s="15">
        <v>1.3977967721537367E-2</v>
      </c>
      <c r="G4" s="15">
        <v>1.3599999999999999E-2</v>
      </c>
    </row>
    <row r="5" spans="1:8" x14ac:dyDescent="0.25">
      <c r="A5" s="17">
        <v>2021</v>
      </c>
      <c r="B5" s="15">
        <v>1.9298209634749083E-2</v>
      </c>
      <c r="C5" s="15">
        <v>3.311012595327642E-2</v>
      </c>
      <c r="D5" s="15">
        <v>2.3643813770991857E-2</v>
      </c>
      <c r="E5" s="15">
        <v>3.630373383931608E-2</v>
      </c>
      <c r="F5" s="15">
        <v>1.5594358599145396E-2</v>
      </c>
      <c r="G5" s="15">
        <v>2.5600000000000001E-2</v>
      </c>
    </row>
    <row r="6" spans="1:8" x14ac:dyDescent="0.25">
      <c r="A6" s="17">
        <v>2022</v>
      </c>
      <c r="B6" s="15">
        <v>2.8927202503894023E-2</v>
      </c>
      <c r="C6" s="15">
        <v>3.8503291494164274E-2</v>
      </c>
      <c r="D6" s="15">
        <v>2.2934850182330817E-2</v>
      </c>
      <c r="E6" s="15">
        <v>3.9072135738335331E-2</v>
      </c>
      <c r="F6" s="15">
        <v>-6.1564123032468845E-2</v>
      </c>
      <c r="G6" s="15">
        <v>1.3599999999999999E-2</v>
      </c>
    </row>
    <row r="7" spans="1:8" x14ac:dyDescent="0.25">
      <c r="A7" s="17">
        <v>2023</v>
      </c>
      <c r="B7" s="15">
        <v>2.26263652407706E-2</v>
      </c>
      <c r="C7" s="15">
        <v>4.4634970989857491E-2</v>
      </c>
      <c r="D7" s="15">
        <v>1.7637756728815141E-2</v>
      </c>
      <c r="E7" s="15">
        <v>3.7239776422506525E-2</v>
      </c>
      <c r="F7" s="15">
        <v>8.5170442023947798E-4</v>
      </c>
      <c r="G7" s="15">
        <v>2.46E-2</v>
      </c>
    </row>
    <row r="8" spans="1:8" x14ac:dyDescent="0.25">
      <c r="A8" s="17">
        <v>2024</v>
      </c>
      <c r="B8" s="15">
        <v>2.2786899624440887E-2</v>
      </c>
      <c r="C8" s="15">
        <v>5.2015563130616345E-2</v>
      </c>
      <c r="D8" s="15">
        <v>2.4772791202616915E-2</v>
      </c>
      <c r="E8" s="15">
        <v>3.5857124490320157E-2</v>
      </c>
      <c r="F8" s="15">
        <v>1.8616862317124193E-2</v>
      </c>
      <c r="G8" s="15">
        <v>3.0800000000000001E-2</v>
      </c>
    </row>
    <row r="12" spans="1:8" x14ac:dyDescent="0.25">
      <c r="A12" s="18" t="s">
        <v>75</v>
      </c>
      <c r="B12" s="18" t="s">
        <v>28</v>
      </c>
      <c r="C12" s="18" t="s">
        <v>12</v>
      </c>
      <c r="D12" s="18" t="s">
        <v>29</v>
      </c>
      <c r="E12" s="18" t="s">
        <v>20</v>
      </c>
      <c r="F12" s="18" t="s">
        <v>30</v>
      </c>
      <c r="G12" s="19" t="s">
        <v>78</v>
      </c>
      <c r="H12" s="56" t="s">
        <v>54</v>
      </c>
    </row>
    <row r="13" spans="1:8" x14ac:dyDescent="0.25">
      <c r="A13" s="17">
        <v>2018</v>
      </c>
      <c r="B13" s="15">
        <v>0.16107985529938987</v>
      </c>
      <c r="C13" s="15">
        <v>0.21383981746353115</v>
      </c>
      <c r="D13" s="15">
        <v>0.16156225119725381</v>
      </c>
      <c r="E13" s="15">
        <v>0.21883180783203737</v>
      </c>
      <c r="F13" s="15">
        <v>0.11162033595033022</v>
      </c>
      <c r="G13" s="15">
        <v>0.1734</v>
      </c>
    </row>
    <row r="14" spans="1:8" x14ac:dyDescent="0.25">
      <c r="A14" s="17">
        <v>2019</v>
      </c>
      <c r="B14" s="15">
        <v>0.14001860562820254</v>
      </c>
      <c r="C14" s="15">
        <v>0.26934336372647488</v>
      </c>
      <c r="D14" s="15">
        <v>0.20937394786738256</v>
      </c>
      <c r="E14" s="15">
        <v>0.23503343514662645</v>
      </c>
      <c r="F14" s="15">
        <v>0.11047436590015909</v>
      </c>
      <c r="G14" s="15">
        <v>0.1928</v>
      </c>
    </row>
    <row r="15" spans="1:8" x14ac:dyDescent="0.25">
      <c r="A15" s="17">
        <v>2020</v>
      </c>
      <c r="B15" s="15">
        <v>8.1754786271703614E-2</v>
      </c>
      <c r="C15" s="15">
        <v>0.13426120918668058</v>
      </c>
      <c r="D15" s="15">
        <v>6.8650695801167144E-2</v>
      </c>
      <c r="E15" s="15">
        <v>0.12579892537892423</v>
      </c>
      <c r="F15" s="15">
        <v>9.0157710181807141E-2</v>
      </c>
      <c r="G15" s="15">
        <v>0.10009999999999999</v>
      </c>
    </row>
    <row r="16" spans="1:8" x14ac:dyDescent="0.25">
      <c r="A16" s="17">
        <v>2021</v>
      </c>
      <c r="B16" s="15">
        <v>0.11685988838322266</v>
      </c>
      <c r="C16" s="15">
        <v>0.26854694889794661</v>
      </c>
      <c r="D16" s="15">
        <v>0.18925167998886452</v>
      </c>
      <c r="E16" s="15">
        <v>0.26259007653146654</v>
      </c>
      <c r="F16" s="15">
        <v>9.515332434841875E-2</v>
      </c>
      <c r="G16" s="15">
        <v>0.1865</v>
      </c>
    </row>
    <row r="17" spans="1:8" x14ac:dyDescent="0.25">
      <c r="A17" s="17">
        <v>2022</v>
      </c>
      <c r="B17" s="15">
        <v>0.18378441428551928</v>
      </c>
      <c r="C17" s="15">
        <v>0.33980938209235756</v>
      </c>
      <c r="D17" s="15">
        <v>0.1849828052854568</v>
      </c>
      <c r="E17" s="15">
        <v>0.26046171665293805</v>
      </c>
      <c r="F17" s="15">
        <v>-0.23004593375463364</v>
      </c>
      <c r="G17" s="15">
        <v>0.14779999999999999</v>
      </c>
    </row>
    <row r="18" spans="1:8" x14ac:dyDescent="0.25">
      <c r="A18" s="17">
        <v>2023</v>
      </c>
      <c r="B18" s="15">
        <v>0.1577738263923589</v>
      </c>
      <c r="C18" s="15">
        <v>0.32374107006101643</v>
      </c>
      <c r="D18" s="15">
        <v>0.14375715320726187</v>
      </c>
      <c r="E18" s="15">
        <v>0.24830679188165411</v>
      </c>
      <c r="F18" s="15">
        <v>1.2455510473527369E-3</v>
      </c>
      <c r="G18" s="15">
        <v>0.17499999999999999</v>
      </c>
    </row>
    <row r="19" spans="1:8" x14ac:dyDescent="0.25">
      <c r="A19" s="17">
        <v>2024</v>
      </c>
      <c r="B19" s="15">
        <v>0.15162362833193715</v>
      </c>
      <c r="C19" s="15">
        <v>0.36457034471841843</v>
      </c>
      <c r="D19" s="15">
        <v>0.20044585726723971</v>
      </c>
      <c r="E19" s="15">
        <v>0.24400124753272176</v>
      </c>
      <c r="F19" s="15">
        <v>2.5800593014819236E-2</v>
      </c>
      <c r="G19" s="15">
        <v>0.1973</v>
      </c>
    </row>
    <row r="23" spans="1:8" x14ac:dyDescent="0.25">
      <c r="A23" s="18" t="s">
        <v>75</v>
      </c>
      <c r="B23" s="26" t="s">
        <v>28</v>
      </c>
      <c r="C23" s="26" t="s">
        <v>12</v>
      </c>
      <c r="D23" s="26" t="s">
        <v>29</v>
      </c>
      <c r="E23" s="26" t="s">
        <v>20</v>
      </c>
      <c r="F23" s="26" t="s">
        <v>30</v>
      </c>
      <c r="G23" s="19" t="s">
        <v>78</v>
      </c>
      <c r="H23" s="57" t="s">
        <v>114</v>
      </c>
    </row>
    <row r="24" spans="1:8" x14ac:dyDescent="0.25">
      <c r="A24" s="17">
        <v>2018</v>
      </c>
      <c r="B24" s="15">
        <v>4.1777183605390893E-2</v>
      </c>
      <c r="C24" s="15">
        <v>5.3900370917610227E-2</v>
      </c>
      <c r="D24" s="15">
        <v>0.14543076154573192</v>
      </c>
      <c r="E24" s="15">
        <v>5.428359745018032E-2</v>
      </c>
      <c r="F24" s="15">
        <v>4.1698572813035892E-2</v>
      </c>
      <c r="G24" s="15">
        <v>6.7400000000000002E-2</v>
      </c>
    </row>
    <row r="25" spans="1:8" x14ac:dyDescent="0.25">
      <c r="A25" s="17">
        <v>2019</v>
      </c>
      <c r="B25" s="15">
        <v>3.7897766507624886E-2</v>
      </c>
      <c r="C25" s="15">
        <v>4.7710751820344198E-2</v>
      </c>
      <c r="D25" s="15">
        <v>0.13488727400936282</v>
      </c>
      <c r="E25" s="15">
        <v>4.6993578638265622E-2</v>
      </c>
      <c r="F25" s="15">
        <v>3.8587737321920598E-2</v>
      </c>
      <c r="G25" s="15">
        <v>6.1199999999999997E-2</v>
      </c>
    </row>
    <row r="26" spans="1:8" x14ac:dyDescent="0.25">
      <c r="A26" s="17">
        <v>2020</v>
      </c>
      <c r="B26" s="15">
        <v>2.8858912631146129E-2</v>
      </c>
      <c r="C26" s="15">
        <v>3.8162475669112045E-2</v>
      </c>
      <c r="D26" s="15">
        <v>0.10641391265447632</v>
      </c>
      <c r="E26" s="15">
        <v>4.0667593976059305E-2</v>
      </c>
      <c r="F26" s="15">
        <v>3.669569717298559E-2</v>
      </c>
      <c r="G26" s="15">
        <v>5.0200000000000002E-2</v>
      </c>
    </row>
    <row r="27" spans="1:8" x14ac:dyDescent="0.25">
      <c r="A27" s="17">
        <v>2021</v>
      </c>
      <c r="B27" s="15">
        <v>3.3972572042530992E-2</v>
      </c>
      <c r="C27" s="15">
        <v>4.1882621576309807E-2</v>
      </c>
      <c r="D27" s="15">
        <v>0.12245189762376774</v>
      </c>
      <c r="E27" s="15">
        <v>4.2886508286211128E-2</v>
      </c>
      <c r="F27" s="15">
        <v>4.0806805645070658E-2</v>
      </c>
      <c r="G27" s="15">
        <v>5.6399999999999999E-2</v>
      </c>
    </row>
    <row r="28" spans="1:8" x14ac:dyDescent="0.25">
      <c r="A28" s="17">
        <v>2022</v>
      </c>
      <c r="B28" s="15">
        <v>4.915640060351268E-2</v>
      </c>
      <c r="C28" s="15">
        <v>4.5590934840234305E-2</v>
      </c>
      <c r="D28" s="15">
        <v>0.11160771468480243</v>
      </c>
      <c r="E28" s="15">
        <v>4.7474893410205464E-2</v>
      </c>
      <c r="F28" s="15">
        <v>2.3925149366415276E-2</v>
      </c>
      <c r="G28" s="15">
        <v>5.5599999999999997E-2</v>
      </c>
    </row>
    <row r="29" spans="1:8" x14ac:dyDescent="0.25">
      <c r="A29" s="17">
        <v>2023</v>
      </c>
      <c r="B29" s="15">
        <v>4.020391833260889E-2</v>
      </c>
      <c r="C29" s="15">
        <v>5.3077945196787317E-2</v>
      </c>
      <c r="D29" s="15">
        <v>0.10901716517495295</v>
      </c>
      <c r="E29" s="15">
        <v>4.9770128678223176E-2</v>
      </c>
      <c r="F29" s="15">
        <v>2.4588706612313729E-2</v>
      </c>
      <c r="G29" s="15">
        <v>5.5300000000000002E-2</v>
      </c>
    </row>
    <row r="30" spans="1:8" x14ac:dyDescent="0.25">
      <c r="A30" s="17">
        <v>2024</v>
      </c>
      <c r="B30" s="15">
        <v>4.0906320306556949E-2</v>
      </c>
      <c r="C30" s="15">
        <v>5.2152769500529612E-2</v>
      </c>
      <c r="D30" s="15">
        <v>0.10921224293331802</v>
      </c>
      <c r="E30" s="15">
        <v>4.5832461547134808E-2</v>
      </c>
      <c r="F30" s="15">
        <v>1.6710902928890669E-2</v>
      </c>
      <c r="G30" s="15">
        <v>5.2999999999999999E-2</v>
      </c>
    </row>
    <row r="34" spans="1:8" x14ac:dyDescent="0.25">
      <c r="A34" s="18" t="s">
        <v>75</v>
      </c>
      <c r="B34" s="18" t="s">
        <v>28</v>
      </c>
      <c r="C34" s="18" t="s">
        <v>12</v>
      </c>
      <c r="D34" s="18" t="s">
        <v>29</v>
      </c>
      <c r="E34" s="18" t="s">
        <v>20</v>
      </c>
      <c r="F34" s="18" t="s">
        <v>30</v>
      </c>
      <c r="G34" s="19" t="s">
        <v>78</v>
      </c>
      <c r="H34" s="56" t="s">
        <v>55</v>
      </c>
    </row>
    <row r="35" spans="1:8" x14ac:dyDescent="0.25">
      <c r="A35" s="17">
        <v>2018</v>
      </c>
      <c r="B35" s="15">
        <v>0.3726849516452157</v>
      </c>
      <c r="C35" s="15">
        <v>0.35951998257562162</v>
      </c>
      <c r="D35" s="15">
        <v>0.67948706966704076</v>
      </c>
      <c r="E35" s="15">
        <v>0.3713873794776984</v>
      </c>
      <c r="F35" s="15">
        <v>0.61266357619872447</v>
      </c>
      <c r="G35" s="15">
        <v>0.47910000000000003</v>
      </c>
    </row>
    <row r="36" spans="1:8" x14ac:dyDescent="0.25">
      <c r="A36" s="17">
        <v>2019</v>
      </c>
      <c r="B36" s="15">
        <v>0.4384054054054054</v>
      </c>
      <c r="C36" s="15">
        <v>0.3717450448761534</v>
      </c>
      <c r="D36" s="15">
        <v>0.63086820405911725</v>
      </c>
      <c r="E36" s="15">
        <v>0.37721121354436332</v>
      </c>
      <c r="F36" s="15">
        <v>0.65468674113647407</v>
      </c>
      <c r="G36" s="15">
        <v>0.49459999999999998</v>
      </c>
    </row>
    <row r="37" spans="1:8" x14ac:dyDescent="0.25">
      <c r="A37" s="17">
        <v>2020</v>
      </c>
      <c r="B37" s="15">
        <v>0.46910665684254843</v>
      </c>
      <c r="C37" s="15">
        <v>0.37568994583943133</v>
      </c>
      <c r="D37" s="15">
        <v>0.66233793479629088</v>
      </c>
      <c r="E37" s="15">
        <v>0.35092097935273614</v>
      </c>
      <c r="F37" s="15">
        <v>0.8240418118466899</v>
      </c>
      <c r="G37" s="15">
        <v>0.53639999999999999</v>
      </c>
    </row>
    <row r="38" spans="1:8" x14ac:dyDescent="0.25">
      <c r="A38" s="17">
        <v>2021</v>
      </c>
      <c r="B38" s="15">
        <v>0.49914505038745588</v>
      </c>
      <c r="C38" s="15">
        <v>0.35354851666997567</v>
      </c>
      <c r="D38" s="15">
        <v>0.587751247807905</v>
      </c>
      <c r="E38" s="15">
        <v>0.32548136214972662</v>
      </c>
      <c r="F38" s="15">
        <v>0.58261710820686019</v>
      </c>
      <c r="G38" s="15">
        <v>0.46970000000000001</v>
      </c>
    </row>
    <row r="39" spans="1:8" x14ac:dyDescent="0.25">
      <c r="A39" s="17">
        <v>2022</v>
      </c>
      <c r="B39" s="15">
        <v>0.47664688074243483</v>
      </c>
      <c r="C39" s="15">
        <v>0.30117530589071662</v>
      </c>
      <c r="D39" s="15">
        <v>0.58438311453400971</v>
      </c>
      <c r="E39" s="15">
        <v>0.28821679530659083</v>
      </c>
      <c r="F39" s="15">
        <v>-0.61455105303673296</v>
      </c>
      <c r="G39" s="15">
        <v>0.2072</v>
      </c>
    </row>
    <row r="40" spans="1:8" x14ac:dyDescent="0.25">
      <c r="A40" s="17">
        <v>2023</v>
      </c>
      <c r="B40" s="15">
        <v>0.47628706766397361</v>
      </c>
      <c r="C40" s="15">
        <v>0.28141707655839338</v>
      </c>
      <c r="D40" s="15">
        <v>0.61014925373134332</v>
      </c>
      <c r="E40" s="15">
        <v>0.31975899952722936</v>
      </c>
      <c r="F40" s="15">
        <v>0.88861966546818816</v>
      </c>
      <c r="G40" s="15">
        <v>0.51519999999999999</v>
      </c>
    </row>
    <row r="41" spans="1:8" x14ac:dyDescent="0.25">
      <c r="A41" s="17">
        <v>2024</v>
      </c>
      <c r="B41" s="15">
        <v>0.49179297887379253</v>
      </c>
      <c r="C41" s="15">
        <v>0.2897842066446647</v>
      </c>
      <c r="D41" s="15">
        <v>0.56570133226329045</v>
      </c>
      <c r="E41" s="15">
        <v>0.32834840102209223</v>
      </c>
      <c r="F41" s="15">
        <v>0.46653294943547602</v>
      </c>
      <c r="G41" s="15">
        <v>0.4284</v>
      </c>
    </row>
    <row r="45" spans="1:8" x14ac:dyDescent="0.25">
      <c r="A45" s="18" t="s">
        <v>75</v>
      </c>
      <c r="B45" s="18" t="s">
        <v>28</v>
      </c>
      <c r="C45" s="18" t="s">
        <v>12</v>
      </c>
      <c r="D45" s="18" t="s">
        <v>29</v>
      </c>
      <c r="E45" s="18" t="s">
        <v>20</v>
      </c>
      <c r="F45" s="18" t="s">
        <v>30</v>
      </c>
      <c r="G45" s="19" t="s">
        <v>78</v>
      </c>
      <c r="H45" s="56" t="s">
        <v>98</v>
      </c>
    </row>
    <row r="46" spans="1:8" x14ac:dyDescent="0.25">
      <c r="A46" s="17">
        <v>2018</v>
      </c>
      <c r="B46" s="15">
        <v>4.4373348929730015E-2</v>
      </c>
      <c r="C46" s="15">
        <v>3.5623670296660692E-2</v>
      </c>
      <c r="D46" s="15">
        <v>4.5295676888903718E-3</v>
      </c>
      <c r="E46" s="15">
        <v>3.0999995950863536E-2</v>
      </c>
      <c r="F46" s="15">
        <v>3.2177288093151374E-2</v>
      </c>
      <c r="G46" s="15">
        <v>2.9499999999999998E-2</v>
      </c>
    </row>
    <row r="47" spans="1:8" x14ac:dyDescent="0.25">
      <c r="A47" s="17">
        <v>2019</v>
      </c>
      <c r="B47" s="15">
        <v>5.3545029182480719E-2</v>
      </c>
      <c r="C47" s="15">
        <v>2.1932961156486592E-2</v>
      </c>
      <c r="D47" s="15">
        <v>4.4341415899075108E-3</v>
      </c>
      <c r="E47" s="15">
        <v>2.7000016980000322E-2</v>
      </c>
      <c r="F47" s="15">
        <v>3.9430533975510537E-2</v>
      </c>
      <c r="G47" s="15">
        <v>2.93E-2</v>
      </c>
    </row>
    <row r="48" spans="1:8" x14ac:dyDescent="0.25">
      <c r="A48" s="17">
        <v>2020</v>
      </c>
      <c r="B48" s="15">
        <v>7.5323385252942382E-2</v>
      </c>
      <c r="C48" s="15">
        <v>3.9717726983378734E-2</v>
      </c>
      <c r="D48" s="15">
        <v>1.1491233154886229E-2</v>
      </c>
      <c r="E48" s="15">
        <v>4.6999986513614832E-2</v>
      </c>
      <c r="F48" s="15">
        <v>2.8643281820611027E-2</v>
      </c>
      <c r="G48" s="15">
        <v>4.0399999999999998E-2</v>
      </c>
    </row>
    <row r="49" spans="1:8" x14ac:dyDescent="0.25">
      <c r="A49" s="17">
        <v>2021</v>
      </c>
      <c r="B49" s="15">
        <v>4.7427451023850667E-2</v>
      </c>
      <c r="C49" s="15">
        <v>2.5781325049450486E-2</v>
      </c>
      <c r="D49" s="15">
        <v>1.6477374697275123E-2</v>
      </c>
      <c r="E49" s="15">
        <v>2.3999983957111698E-2</v>
      </c>
      <c r="F49" s="15">
        <v>2.6309514246480203E-2</v>
      </c>
      <c r="G49" s="15">
        <v>2.8000000000000001E-2</v>
      </c>
    </row>
    <row r="50" spans="1:8" x14ac:dyDescent="0.25">
      <c r="A50" s="17">
        <v>2022</v>
      </c>
      <c r="B50" s="15">
        <v>3.9117665084221591E-2</v>
      </c>
      <c r="C50" s="15">
        <v>2.763274334469655E-2</v>
      </c>
      <c r="D50" s="15">
        <v>9.7720632905248864E-3</v>
      </c>
      <c r="E50" s="15">
        <v>2.1999995968030064E-2</v>
      </c>
      <c r="F50" s="15">
        <v>0.18244778541033663</v>
      </c>
      <c r="G50" s="15">
        <v>5.62E-2</v>
      </c>
    </row>
    <row r="51" spans="1:8" x14ac:dyDescent="0.25">
      <c r="A51" s="17">
        <v>2023</v>
      </c>
      <c r="B51" s="15">
        <v>3.7015405410966602E-2</v>
      </c>
      <c r="C51" s="15">
        <v>2.2148183195887423E-2</v>
      </c>
      <c r="D51" s="15">
        <v>9.7530937963094186E-3</v>
      </c>
      <c r="E51" s="15">
        <v>2.000000093999323E-2</v>
      </c>
      <c r="F51" s="15">
        <v>0.25560925997214973</v>
      </c>
      <c r="G51" s="15">
        <v>6.8900000000000003E-2</v>
      </c>
    </row>
    <row r="52" spans="1:8" x14ac:dyDescent="0.25">
      <c r="A52" s="17">
        <v>2024</v>
      </c>
      <c r="B52" s="15">
        <v>3.320656071139625E-2</v>
      </c>
      <c r="C52" s="15">
        <v>2.3015685356968612E-2</v>
      </c>
      <c r="D52" s="15">
        <v>8.0391131961413832E-3</v>
      </c>
      <c r="E52" s="15">
        <v>2.2000001712916151E-2</v>
      </c>
      <c r="F52" s="15">
        <v>0.58546942794719514</v>
      </c>
      <c r="G52" s="15">
        <v>0.1343</v>
      </c>
    </row>
    <row r="56" spans="1:8" x14ac:dyDescent="0.25">
      <c r="A56" s="18" t="s">
        <v>75</v>
      </c>
      <c r="B56" s="18" t="s">
        <v>28</v>
      </c>
      <c r="C56" s="18" t="s">
        <v>12</v>
      </c>
      <c r="D56" s="18" t="s">
        <v>29</v>
      </c>
      <c r="E56" s="18" t="s">
        <v>20</v>
      </c>
      <c r="F56" s="18" t="s">
        <v>30</v>
      </c>
      <c r="G56" s="19" t="s">
        <v>78</v>
      </c>
      <c r="H56" s="56" t="s">
        <v>137</v>
      </c>
    </row>
    <row r="57" spans="1:8" x14ac:dyDescent="0.25">
      <c r="A57" s="17">
        <v>2018</v>
      </c>
      <c r="B57" s="15">
        <v>0.34357605883506304</v>
      </c>
      <c r="C57" s="15">
        <v>0.34744472900998785</v>
      </c>
      <c r="D57" s="15">
        <v>0.49539392589025488</v>
      </c>
      <c r="E57" s="15">
        <v>0.36535930183515469</v>
      </c>
      <c r="F57" s="15">
        <v>0.34702598765251397</v>
      </c>
      <c r="G57" s="15">
        <v>0.37980000000000003</v>
      </c>
    </row>
    <row r="58" spans="1:8" x14ac:dyDescent="0.25">
      <c r="A58" s="17">
        <v>2019</v>
      </c>
      <c r="B58" s="15">
        <v>0.31894295345876017</v>
      </c>
      <c r="C58" s="15">
        <v>0.36006522398978774</v>
      </c>
      <c r="D58" s="15">
        <v>0.47342173819364192</v>
      </c>
      <c r="E58" s="15">
        <v>0.37506339695847446</v>
      </c>
      <c r="F58" s="15">
        <v>0.35536410570890109</v>
      </c>
      <c r="G58" s="15">
        <v>0.37659999999999999</v>
      </c>
    </row>
    <row r="59" spans="1:8" x14ac:dyDescent="0.25">
      <c r="A59" s="17">
        <v>2020</v>
      </c>
      <c r="B59" s="15">
        <v>0.29215391349329511</v>
      </c>
      <c r="C59" s="15">
        <v>0.35684428498598791</v>
      </c>
      <c r="D59" s="15">
        <v>0.45311274123553941</v>
      </c>
      <c r="E59" s="15">
        <v>0.37342583007047192</v>
      </c>
      <c r="F59" s="15">
        <v>0.37596620465002628</v>
      </c>
      <c r="G59" s="15">
        <v>0.37030000000000002</v>
      </c>
    </row>
    <row r="60" spans="1:8" x14ac:dyDescent="0.25">
      <c r="A60" s="17">
        <v>2021</v>
      </c>
      <c r="B60" s="15">
        <v>0.31595597441177753</v>
      </c>
      <c r="C60" s="15">
        <v>0.36236605075531858</v>
      </c>
      <c r="D60" s="15">
        <v>0.47910346728703501</v>
      </c>
      <c r="E60" s="15">
        <v>0.36509711753232893</v>
      </c>
      <c r="F60" s="15">
        <v>0.3626191825060609</v>
      </c>
      <c r="G60" s="15">
        <v>0.377</v>
      </c>
    </row>
    <row r="61" spans="1:8" x14ac:dyDescent="0.25">
      <c r="A61" s="17">
        <v>2022</v>
      </c>
      <c r="B61" s="15">
        <v>0.41429289896045429</v>
      </c>
      <c r="C61" s="15">
        <v>0.3314507939040065</v>
      </c>
      <c r="D61" s="15">
        <v>0.45466890920338793</v>
      </c>
      <c r="E61" s="15">
        <v>0.34099255273998375</v>
      </c>
      <c r="F61" s="15">
        <v>9.8082134859481931E-2</v>
      </c>
      <c r="G61" s="15">
        <v>0.32790000000000002</v>
      </c>
    </row>
    <row r="62" spans="1:8" x14ac:dyDescent="0.25">
      <c r="A62" s="17">
        <v>2023</v>
      </c>
      <c r="B62" s="15">
        <v>0.37185755145559468</v>
      </c>
      <c r="C62" s="15">
        <v>0.34322798041698249</v>
      </c>
      <c r="D62" s="15">
        <v>0.43481409672145049</v>
      </c>
      <c r="E62" s="15">
        <v>0.35402158590430044</v>
      </c>
      <c r="F62" s="15">
        <v>0.224009973458761</v>
      </c>
      <c r="G62" s="15">
        <v>0.34560000000000002</v>
      </c>
    </row>
    <row r="63" spans="1:8" x14ac:dyDescent="0.25">
      <c r="A63" s="17">
        <v>2024</v>
      </c>
      <c r="B63" s="15">
        <v>0.38547545298877517</v>
      </c>
      <c r="C63" s="15">
        <v>0.34274342240431438</v>
      </c>
      <c r="D63" s="15">
        <v>0.45905204398547106</v>
      </c>
      <c r="E63" s="15">
        <v>0.35317371803065306</v>
      </c>
      <c r="F63" s="15">
        <v>0.21581171511994704</v>
      </c>
      <c r="G63" s="15">
        <v>0.3513</v>
      </c>
    </row>
    <row r="67" spans="1:8" x14ac:dyDescent="0.25">
      <c r="A67" s="18" t="s">
        <v>75</v>
      </c>
      <c r="B67" s="18" t="s">
        <v>28</v>
      </c>
      <c r="C67" s="18" t="s">
        <v>12</v>
      </c>
      <c r="D67" s="18" t="s">
        <v>29</v>
      </c>
      <c r="E67" s="18" t="s">
        <v>20</v>
      </c>
      <c r="F67" s="18" t="s">
        <v>30</v>
      </c>
      <c r="G67" s="1" t="s">
        <v>78</v>
      </c>
      <c r="H67" s="56" t="s">
        <v>80</v>
      </c>
    </row>
    <row r="68" spans="1:8" x14ac:dyDescent="0.25">
      <c r="A68" s="17">
        <v>2018</v>
      </c>
      <c r="B68" s="20">
        <v>5.7607882943685542</v>
      </c>
      <c r="C68" s="20">
        <v>8.4484129367835816</v>
      </c>
      <c r="D68" s="20">
        <v>5.5664400852980833</v>
      </c>
      <c r="E68" s="20">
        <v>7.1689982043468898</v>
      </c>
      <c r="F68" s="20">
        <v>6.7206530135502591</v>
      </c>
      <c r="G68" s="24">
        <v>6.73</v>
      </c>
    </row>
    <row r="69" spans="1:8" x14ac:dyDescent="0.25">
      <c r="A69" s="17">
        <v>2019</v>
      </c>
      <c r="B69" s="20">
        <v>5.8830958865056679</v>
      </c>
      <c r="C69" s="20">
        <v>8.624775333635295</v>
      </c>
      <c r="D69" s="20">
        <v>6.3326599684581719</v>
      </c>
      <c r="E69" s="20">
        <v>7.2703232304655119</v>
      </c>
      <c r="F69" s="20">
        <v>6.1997486434356768</v>
      </c>
      <c r="G69" s="24">
        <v>6.86</v>
      </c>
    </row>
    <row r="70" spans="1:8" x14ac:dyDescent="0.25">
      <c r="A70" s="17">
        <v>2020</v>
      </c>
      <c r="B70" s="20">
        <v>6.3619778305835339</v>
      </c>
      <c r="C70" s="20">
        <v>8.7810314613519029</v>
      </c>
      <c r="D70" s="20">
        <v>7.4624153563096298</v>
      </c>
      <c r="E70" s="20">
        <v>7.5916477212326248</v>
      </c>
      <c r="F70" s="20">
        <v>6.4499870065439771</v>
      </c>
      <c r="G70" s="24">
        <v>7.33</v>
      </c>
    </row>
    <row r="71" spans="1:8" x14ac:dyDescent="0.25">
      <c r="A71" s="17">
        <v>2021</v>
      </c>
      <c r="B71" s="20">
        <v>6.0554782332139423</v>
      </c>
      <c r="C71" s="20">
        <v>8.1107196413842857</v>
      </c>
      <c r="D71" s="20">
        <v>8.0042789129498981</v>
      </c>
      <c r="E71" s="20">
        <v>7.2331424005507587</v>
      </c>
      <c r="F71" s="20">
        <v>6.1017786492118606</v>
      </c>
      <c r="G71" s="24">
        <v>7.1</v>
      </c>
    </row>
    <row r="72" spans="1:8" x14ac:dyDescent="0.25">
      <c r="A72" s="17">
        <v>2022</v>
      </c>
      <c r="B72" s="20">
        <v>6.3533421270438861</v>
      </c>
      <c r="C72" s="20">
        <v>8.8254631982271068</v>
      </c>
      <c r="D72" s="20">
        <v>8.0655772248283082</v>
      </c>
      <c r="E72" s="20">
        <v>6.6661755681143378</v>
      </c>
      <c r="F72" s="20">
        <v>3.7366882272213591</v>
      </c>
      <c r="G72" s="24">
        <v>6.73</v>
      </c>
    </row>
    <row r="73" spans="1:8" x14ac:dyDescent="0.25">
      <c r="A73" s="17">
        <v>2023</v>
      </c>
      <c r="B73" s="20">
        <v>6.9730080246413229</v>
      </c>
      <c r="C73" s="20">
        <v>7.2530812249117593</v>
      </c>
      <c r="D73" s="20">
        <v>8.1505349811522834</v>
      </c>
      <c r="E73" s="20">
        <v>6.6677841742246722</v>
      </c>
      <c r="F73" s="20">
        <v>1.462421724901368</v>
      </c>
      <c r="G73" s="24">
        <v>6.1</v>
      </c>
    </row>
    <row r="74" spans="1:8" x14ac:dyDescent="0.25">
      <c r="A74" s="17">
        <v>2024</v>
      </c>
      <c r="B74" s="20">
        <v>6.6539823684178581</v>
      </c>
      <c r="C74" s="20">
        <v>7.0088704759947582</v>
      </c>
      <c r="D74" s="20">
        <v>8.0913715224009675</v>
      </c>
      <c r="E74" s="20">
        <v>6.8048191538223133</v>
      </c>
      <c r="F74" s="20">
        <v>1.3858722579200304</v>
      </c>
      <c r="G74" s="24">
        <v>5.99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C3CC-B277-4EC5-B384-DF146C47D082}">
  <dimension ref="A1:H62"/>
  <sheetViews>
    <sheetView topLeftCell="D1" zoomScale="62" zoomScaleNormal="40" workbookViewId="0">
      <selection activeCell="K11" sqref="K11"/>
    </sheetView>
  </sheetViews>
  <sheetFormatPr defaultRowHeight="15" x14ac:dyDescent="0.25"/>
  <cols>
    <col min="1" max="1" width="16" bestFit="1" customWidth="1"/>
    <col min="2" max="2" width="18.7109375" bestFit="1" customWidth="1"/>
    <col min="3" max="3" width="12.7109375" customWidth="1"/>
    <col min="4" max="4" width="25.85546875" customWidth="1"/>
    <col min="5" max="5" width="18.140625" bestFit="1" customWidth="1"/>
    <col min="6" max="6" width="16" bestFit="1" customWidth="1"/>
    <col min="7" max="7" width="22.140625" bestFit="1" customWidth="1"/>
    <col min="8" max="8" width="23.28515625" bestFit="1" customWidth="1"/>
  </cols>
  <sheetData>
    <row r="1" spans="1:8" x14ac:dyDescent="0.25">
      <c r="A1" s="29" t="s">
        <v>53</v>
      </c>
    </row>
    <row r="2" spans="1:8" ht="30" x14ac:dyDescent="0.25">
      <c r="A2" s="1" t="s">
        <v>0</v>
      </c>
      <c r="B2" s="28" t="s">
        <v>105</v>
      </c>
      <c r="C2" s="28" t="s">
        <v>107</v>
      </c>
      <c r="D2" s="28" t="s">
        <v>174</v>
      </c>
      <c r="E2" s="28" t="s">
        <v>106</v>
      </c>
      <c r="F2" s="28" t="s">
        <v>124</v>
      </c>
      <c r="G2" s="28" t="s">
        <v>125</v>
      </c>
      <c r="H2" s="28" t="s">
        <v>126</v>
      </c>
    </row>
    <row r="3" spans="1:8" x14ac:dyDescent="0.25">
      <c r="A3" t="s">
        <v>12</v>
      </c>
      <c r="B3" s="42">
        <f>(Calculated_Ratios!C2+Calculated_Ratios!C3)/2</f>
        <v>2.8270135365192042E-2</v>
      </c>
      <c r="C3" s="45">
        <f>Calculated_Ratios!C4</f>
        <v>1.5289913238280335E-2</v>
      </c>
      <c r="D3" s="42">
        <f>(Calculated_Ratios!C5+Calculated_Ratios!C6)/2</f>
        <v>3.5806708723720347E-2</v>
      </c>
      <c r="E3" s="43">
        <f>(Calculated_Ratios!C7+Calculated_Ratios!C8)/2</f>
        <v>4.8325267060236918E-2</v>
      </c>
      <c r="F3" s="42">
        <f>AVERAGE(Calculated_Ratios!C2:C8)</f>
        <v>3.4299162219511278E-2</v>
      </c>
      <c r="G3" s="15" t="s">
        <v>127</v>
      </c>
      <c r="H3" s="15" t="s">
        <v>130</v>
      </c>
    </row>
    <row r="4" spans="1:8" x14ac:dyDescent="0.25">
      <c r="A4" t="s">
        <v>20</v>
      </c>
      <c r="B4" s="42">
        <f>(Calculated_Ratios!C9+Calculated_Ratios!C10)/2</f>
        <v>3.1426261845139143E-2</v>
      </c>
      <c r="C4" s="45">
        <f>Calculated_Ratios!C11</f>
        <v>1.6570701117635468E-2</v>
      </c>
      <c r="D4" s="43">
        <f>(Calculated_Ratios!C12+Calculated_Ratios!C13)/2</f>
        <v>3.7687934788825705E-2</v>
      </c>
      <c r="E4" s="42">
        <f>(Calculated_Ratios!C14+Calculated_Ratios!C15)/2</f>
        <v>3.6548450456413341E-2</v>
      </c>
      <c r="F4" s="42">
        <f>AVERAGE(Calculated_Ratios!C9:C15)</f>
        <v>3.2556570756913122E-2</v>
      </c>
      <c r="G4" s="15" t="s">
        <v>128</v>
      </c>
      <c r="H4" s="15" t="s">
        <v>130</v>
      </c>
    </row>
    <row r="5" spans="1:8" x14ac:dyDescent="0.25">
      <c r="A5" t="s">
        <v>28</v>
      </c>
      <c r="B5" s="42">
        <f>(Calculated_Ratios!C16+Calculated_Ratios!C17)/2</f>
        <v>2.588079146445596E-2</v>
      </c>
      <c r="C5" s="46">
        <f>Calculated_Ratios!C18</f>
        <v>1.2850529890042843E-2</v>
      </c>
      <c r="D5" s="43">
        <f>(Calculated_Ratios!C19+Calculated_Ratios!C20)/2</f>
        <v>2.4112706069321553E-2</v>
      </c>
      <c r="E5" s="44">
        <f>(Calculated_Ratios!C21+Calculated_Ratios!C22)/2</f>
        <v>2.2706632432605744E-2</v>
      </c>
      <c r="F5" s="44">
        <f>AVERAGE(Calculated_Ratios!C16:C22)</f>
        <v>2.2607255688972764E-2</v>
      </c>
      <c r="G5" s="15" t="s">
        <v>128</v>
      </c>
      <c r="H5" s="15" t="s">
        <v>130</v>
      </c>
    </row>
    <row r="6" spans="1:8" x14ac:dyDescent="0.25">
      <c r="A6" t="s">
        <v>29</v>
      </c>
      <c r="B6" s="43">
        <f>(Calculated_Ratios!C23+Calculated_Ratios!C24)/2</f>
        <v>3.1043449959649329E-2</v>
      </c>
      <c r="C6" s="46">
        <f>Calculated_Ratios!C25</f>
        <v>9.1995275689286757E-3</v>
      </c>
      <c r="D6" s="42">
        <f>(Calculated_Ratios!C26+Calculated_Ratios!C27)/2</f>
        <v>2.3289331976661339E-2</v>
      </c>
      <c r="E6" s="44">
        <f>(Calculated_Ratios!C28+Calculated_Ratios!C29)/2</f>
        <v>2.1205273965716028E-2</v>
      </c>
      <c r="F6" s="44">
        <f>AVERAGE(Calculated_Ratios!C23:C29)</f>
        <v>2.2896519910426009E-2</v>
      </c>
      <c r="G6" s="15" t="s">
        <v>129</v>
      </c>
      <c r="H6" s="15" t="s">
        <v>130</v>
      </c>
    </row>
    <row r="7" spans="1:8" x14ac:dyDescent="0.25">
      <c r="A7" t="s">
        <v>30</v>
      </c>
      <c r="B7" s="44">
        <f>(Calculated_Ratios!C30+Calculated_Ratios!C31)/2</f>
        <v>1.7213861818287397E-2</v>
      </c>
      <c r="C7" s="45">
        <f>Calculated_Ratios!C32</f>
        <v>1.3977967721537367E-2</v>
      </c>
      <c r="D7" s="44">
        <f>(Calculated_Ratios!C33+Calculated_Ratios!C34)/2</f>
        <v>-2.2984882216661725E-2</v>
      </c>
      <c r="E7" s="44">
        <f>(Calculated_Ratios!C35+Calculated_Ratios!C36)/2</f>
        <v>9.7342833686818349E-3</v>
      </c>
      <c r="F7" s="44">
        <f>AVERAGE(Calculated_Ratios!C30:C36)</f>
        <v>3.1292133803074826E-3</v>
      </c>
      <c r="G7" s="15" t="s">
        <v>129</v>
      </c>
      <c r="H7" s="15" t="s">
        <v>131</v>
      </c>
    </row>
    <row r="8" spans="1:8" x14ac:dyDescent="0.25">
      <c r="A8" t="s">
        <v>78</v>
      </c>
      <c r="B8" s="15">
        <f>('Industry Benchmark Analysis'!B2+'Industry Benchmark Analysis'!B3)/2</f>
        <v>2.6766900090544776E-2</v>
      </c>
      <c r="C8" s="25">
        <f>'Industry Benchmark Analysis'!B4</f>
        <v>1.3577727907284939E-2</v>
      </c>
      <c r="D8" s="15">
        <f>('Industry Benchmark Analysis'!B5+'Industry Benchmark Analysis'!B6)/2</f>
        <v>1.9582359868373443E-2</v>
      </c>
      <c r="E8" s="15">
        <f>('Industry Benchmark Analysis'!B7+'Industry Benchmark Analysis'!B8)/2</f>
        <v>2.7703981456730774E-2</v>
      </c>
      <c r="F8" s="15">
        <f>AVERAGE('Industry Benchmark Analysis'!B2:B8)</f>
        <v>2.3097744391226131E-2</v>
      </c>
      <c r="G8" s="15" t="s">
        <v>127</v>
      </c>
      <c r="H8" s="15" t="s">
        <v>130</v>
      </c>
    </row>
    <row r="10" spans="1:8" x14ac:dyDescent="0.25">
      <c r="A10" s="30" t="s">
        <v>54</v>
      </c>
    </row>
    <row r="11" spans="1:8" ht="30" x14ac:dyDescent="0.25">
      <c r="A11" t="s">
        <v>0</v>
      </c>
      <c r="B11" s="14" t="s">
        <v>108</v>
      </c>
      <c r="C11" s="14" t="s">
        <v>109</v>
      </c>
      <c r="D11" s="14" t="s">
        <v>175</v>
      </c>
      <c r="E11" s="14" t="s">
        <v>110</v>
      </c>
      <c r="F11" s="14" t="s">
        <v>124</v>
      </c>
      <c r="G11" s="14" t="s">
        <v>125</v>
      </c>
      <c r="H11" s="14" t="s">
        <v>126</v>
      </c>
    </row>
    <row r="12" spans="1:8" x14ac:dyDescent="0.25">
      <c r="A12" t="s">
        <v>12</v>
      </c>
      <c r="B12" s="31">
        <f>(Calculated_Ratios!D2+Calculated_Ratios!D3)/2</f>
        <v>0.24159159059500301</v>
      </c>
      <c r="C12" s="50">
        <f>Calculated_Ratios!D4</f>
        <v>0.13426120918668058</v>
      </c>
      <c r="D12" s="31">
        <f>(Calculated_Ratios!D5+Calculated_Ratios!D6)/2</f>
        <v>0.30417816549515209</v>
      </c>
      <c r="E12" s="47">
        <f>(Calculated_Ratios!D7+Calculated_Ratios!D8)/2</f>
        <v>0.34415570738971746</v>
      </c>
      <c r="F12" s="25">
        <f>AVERAGE(Calculated_Ratios!D2:D8)</f>
        <v>0.27344459087806078</v>
      </c>
      <c r="G12" t="s">
        <v>127</v>
      </c>
      <c r="H12" t="s">
        <v>130</v>
      </c>
    </row>
    <row r="13" spans="1:8" x14ac:dyDescent="0.25">
      <c r="A13" t="s">
        <v>20</v>
      </c>
      <c r="B13" s="34">
        <f>(Calculated_Ratios!D9+Calculated_Ratios!D10)/2</f>
        <v>0.22693262148933191</v>
      </c>
      <c r="C13" s="51">
        <f>Calculated_Ratios!D11</f>
        <v>0.12579892537892423</v>
      </c>
      <c r="D13" s="48">
        <f>(Calculated_Ratios!D12+Calculated_Ratios!D13)/2</f>
        <v>0.26152589659220227</v>
      </c>
      <c r="E13" s="36">
        <f>(Calculated_Ratios!D14+Calculated_Ratios!D15)/2</f>
        <v>0.24615401970718792</v>
      </c>
      <c r="F13" s="25">
        <f>AVERAGE(Calculated_Ratios!D9:D15)</f>
        <v>0.22786057156519551</v>
      </c>
      <c r="G13" t="s">
        <v>131</v>
      </c>
      <c r="H13" t="s">
        <v>130</v>
      </c>
    </row>
    <row r="14" spans="1:8" x14ac:dyDescent="0.25">
      <c r="A14" t="s">
        <v>28</v>
      </c>
      <c r="B14" s="31">
        <f>(Calculated_Ratios!D16+Calculated_Ratios!D17)/2</f>
        <v>0.1505492304637962</v>
      </c>
      <c r="C14" s="32">
        <f>Calculated_Ratios!D18</f>
        <v>8.1754786271703614E-2</v>
      </c>
      <c r="D14" s="52">
        <f>(Calculated_Ratios!D19+Calculated_Ratios!C20)/2</f>
        <v>7.2893545443558333E-2</v>
      </c>
      <c r="E14" s="47">
        <f>(Calculated_Ratios!D21+Calculated_Ratios!D22)/2</f>
        <v>0.15469872736214801</v>
      </c>
      <c r="F14" s="25">
        <f>AVERAGE(Calculated_Ratios!D16:D22)</f>
        <v>0.1418421435131906</v>
      </c>
      <c r="G14" t="s">
        <v>127</v>
      </c>
      <c r="H14" t="s">
        <v>131</v>
      </c>
    </row>
    <row r="15" spans="1:8" x14ac:dyDescent="0.25">
      <c r="A15" t="s">
        <v>29</v>
      </c>
      <c r="B15" s="34">
        <f>(Calculated_Ratios!D23+Calculated_Ratios!D24)/2</f>
        <v>0.18546809953231819</v>
      </c>
      <c r="C15" s="35">
        <f>Calculated_Ratios!D25</f>
        <v>6.8650695801167144E-2</v>
      </c>
      <c r="D15" s="48">
        <f>(Calculated_Ratios!D26+Calculated_Ratios!D27)/2</f>
        <v>0.18711724263716067</v>
      </c>
      <c r="E15" s="53">
        <f>(Calculated_Ratios!C28+Calculated_Ratios!C29)/2</f>
        <v>2.1205273965716028E-2</v>
      </c>
      <c r="F15" s="25">
        <f>AVERAGE(Calculated_Ratios!D23:D29)</f>
        <v>0.16543205580208947</v>
      </c>
      <c r="G15" t="s">
        <v>131</v>
      </c>
      <c r="H15" t="s">
        <v>127</v>
      </c>
    </row>
    <row r="16" spans="1:8" x14ac:dyDescent="0.25">
      <c r="A16" t="s">
        <v>30</v>
      </c>
      <c r="B16" s="49">
        <f>(Calculated_Ratios!D30+Calculated_Ratios!D31)/2</f>
        <v>0.11104735092524465</v>
      </c>
      <c r="C16" s="32">
        <f>Calculated_Ratios!D32</f>
        <v>9.0157710181807141E-2</v>
      </c>
      <c r="D16" s="52">
        <f>(Calculated_Ratios!D33+Calculated_Ratios!D34)/2</f>
        <v>-6.7446304703107446E-2</v>
      </c>
      <c r="E16" s="33">
        <f>(Calculated_Ratios!D35+Calculated_Ratios!D36)/2</f>
        <v>1.3523072031085987E-2</v>
      </c>
      <c r="F16" s="25">
        <f>AVERAGE(Calculated_Ratios!D30:D36)</f>
        <v>2.9200849526893363E-2</v>
      </c>
      <c r="G16" t="s">
        <v>129</v>
      </c>
      <c r="H16" t="s">
        <v>131</v>
      </c>
    </row>
    <row r="17" spans="1:8" x14ac:dyDescent="0.25">
      <c r="A17" s="38" t="s">
        <v>78</v>
      </c>
      <c r="B17" s="54">
        <f>('Industry Benchmark Analysis'!C2+'Industry Benchmark Analysis'!C3)/2</f>
        <v>0.18311777860113881</v>
      </c>
      <c r="C17" s="55">
        <f>'Industry Benchmark Analysis'!C4</f>
        <v>0.10012466536405655</v>
      </c>
      <c r="D17" s="39">
        <f>('Industry Benchmark Analysis'!C5+'Industry Benchmark Analysis'!C6)/2</f>
        <v>0.16713943027115569</v>
      </c>
      <c r="E17" s="41">
        <f>('Industry Benchmark Analysis'!C7+'Industry Benchmark Analysis'!C8)/2</f>
        <v>0.18612660634547801</v>
      </c>
      <c r="F17" s="25">
        <f>AVERAGE('Industry Benchmark Analysis'!C2:C8)</f>
        <v>0.16755604225708592</v>
      </c>
      <c r="G17" t="s">
        <v>129</v>
      </c>
      <c r="H17" t="s">
        <v>130</v>
      </c>
    </row>
    <row r="19" spans="1:8" x14ac:dyDescent="0.25">
      <c r="A19" s="29" t="s">
        <v>114</v>
      </c>
    </row>
    <row r="20" spans="1:8" ht="30" x14ac:dyDescent="0.25">
      <c r="A20" t="s">
        <v>0</v>
      </c>
      <c r="B20" s="14" t="s">
        <v>115</v>
      </c>
      <c r="C20" s="14" t="s">
        <v>116</v>
      </c>
      <c r="D20" s="14" t="s">
        <v>176</v>
      </c>
      <c r="E20" s="14" t="s">
        <v>132</v>
      </c>
      <c r="F20" s="14" t="s">
        <v>124</v>
      </c>
      <c r="G20" s="14" t="s">
        <v>125</v>
      </c>
      <c r="H20" s="14" t="s">
        <v>126</v>
      </c>
    </row>
    <row r="21" spans="1:8" x14ac:dyDescent="0.25">
      <c r="A21" t="s">
        <v>12</v>
      </c>
      <c r="B21" s="31">
        <f>(Calculated_Ratios!E2+Calculated_Ratios!E3)/2</f>
        <v>5.0805561368977209E-2</v>
      </c>
      <c r="C21" s="32">
        <f>Calculated_Ratios!E4</f>
        <v>3.8162475669112045E-2</v>
      </c>
      <c r="D21" s="31">
        <f>(Calculated_Ratios!E5+Calculated_Ratios!E6)/2</f>
        <v>4.3736778208272056E-2</v>
      </c>
      <c r="E21" s="33">
        <f>(Calculated_Ratios!E7+Calculated_Ratios!E8)/2</f>
        <v>5.2615357348658465E-2</v>
      </c>
      <c r="F21" s="15">
        <f>AVERAGE(Calculated_Ratios!E2:E8)</f>
        <v>4.7496838502989643E-2</v>
      </c>
      <c r="G21" t="s">
        <v>127</v>
      </c>
      <c r="H21" t="s">
        <v>130</v>
      </c>
    </row>
    <row r="22" spans="1:8" x14ac:dyDescent="0.25">
      <c r="A22" t="s">
        <v>20</v>
      </c>
      <c r="B22" s="34">
        <f>(Calculated_Ratios!E9+Calculated_Ratios!E10)/2</f>
        <v>5.0638588044222971E-2</v>
      </c>
      <c r="C22" s="35">
        <f>Calculated_Ratios!E11</f>
        <v>4.0667593976059305E-2</v>
      </c>
      <c r="D22" s="34">
        <f>(Calculated_Ratios!E12+Calculated_Ratios!E13)/2</f>
        <v>4.5180700848208299E-2</v>
      </c>
      <c r="E22" s="36">
        <f>(Calculated_Ratios!E14+Calculated_Ratios!E15)/2</f>
        <v>4.7801295112678992E-2</v>
      </c>
      <c r="F22" s="15">
        <f>AVERAGE(Calculated_Ratios!D9:D15)</f>
        <v>0.22786057156519551</v>
      </c>
      <c r="G22" t="s">
        <v>129</v>
      </c>
      <c r="H22" t="s">
        <v>130</v>
      </c>
    </row>
    <row r="23" spans="1:8" x14ac:dyDescent="0.25">
      <c r="A23" t="s">
        <v>28</v>
      </c>
      <c r="B23" s="31">
        <f>(Calculated_Ratios!E16+Calculated_Ratios!E17)/2</f>
        <v>3.9837475056507893E-2</v>
      </c>
      <c r="C23" s="32">
        <f>Calculated_Ratios!E18</f>
        <v>2.8858912631146129E-2</v>
      </c>
      <c r="D23" s="31">
        <f>(Calculated_Ratios!E19+Calculated_Ratios!E20)/2</f>
        <v>4.1564486323021836E-2</v>
      </c>
      <c r="E23" s="33">
        <f>(Calculated_Ratios!E21+Calculated_Ratios!E22)/2</f>
        <v>4.0555119319582916E-2</v>
      </c>
      <c r="F23" s="15">
        <f>AVERAGE(Calculated_Ratios!D16:D22)</f>
        <v>0.1418421435131906</v>
      </c>
      <c r="G23" t="s">
        <v>131</v>
      </c>
      <c r="H23" t="s">
        <v>130</v>
      </c>
    </row>
    <row r="24" spans="1:8" x14ac:dyDescent="0.25">
      <c r="A24" t="s">
        <v>29</v>
      </c>
      <c r="B24" s="34">
        <f>(Calculated_Ratios!E23+Calculated_Ratios!E24)/2</f>
        <v>0.14015901777754736</v>
      </c>
      <c r="C24" s="35">
        <f>Calculated_Ratios!E25</f>
        <v>0.10641391265447632</v>
      </c>
      <c r="D24" s="34">
        <f>(Calculated_Ratios!E26+Calculated_Ratios!E27)/2</f>
        <v>0.11702980615428508</v>
      </c>
      <c r="E24" s="36">
        <f>(Calculated_Ratios!E28+Calculated_Ratios!E29)/2</f>
        <v>0.10911470405413548</v>
      </c>
      <c r="F24" s="15">
        <f>AVERAGE(Calculated_Ratios!D23:D29)</f>
        <v>0.16543205580208947</v>
      </c>
      <c r="G24" t="s">
        <v>129</v>
      </c>
      <c r="H24" t="s">
        <v>130</v>
      </c>
    </row>
    <row r="25" spans="1:8" x14ac:dyDescent="0.25">
      <c r="A25" t="s">
        <v>30</v>
      </c>
      <c r="B25" s="31">
        <f>(Calculated_Ratios!E30+Calculated_Ratios!E31)/2</f>
        <v>4.0143155067478245E-2</v>
      </c>
      <c r="C25" s="32">
        <f>Calculated_Ratios!E32</f>
        <v>3.669569717298559E-2</v>
      </c>
      <c r="D25" s="31">
        <f>(Calculated_Ratios!E33+Calculated_Ratios!E34)/2</f>
        <v>3.2365977505742966E-2</v>
      </c>
      <c r="E25" s="33">
        <f>(Calculated_Ratios!E35+Calculated_Ratios!E36)/2</f>
        <v>2.0649804770602201E-2</v>
      </c>
      <c r="F25" s="15">
        <f>AVERAGE(Calculated_Ratios!D30:D36)</f>
        <v>2.9200849526893363E-2</v>
      </c>
      <c r="G25" t="s">
        <v>129</v>
      </c>
      <c r="H25" t="s">
        <v>127</v>
      </c>
    </row>
    <row r="26" spans="1:8" x14ac:dyDescent="0.25">
      <c r="A26" s="38" t="s">
        <v>78</v>
      </c>
      <c r="B26" s="39">
        <f>('Industry Benchmark Analysis'!D2+'Industry Benchmark Analysis'!D3)/2</f>
        <v>6.4316759462946738E-2</v>
      </c>
      <c r="C26" s="40">
        <f>'Industry Benchmark Analysis'!D4</f>
        <v>5.015971842075588E-2</v>
      </c>
      <c r="D26" s="39">
        <f>('Industry Benchmark Analysis'!D5+'Industry Benchmark Analysis'!D6)/2</f>
        <v>5.5975549807906047E-2</v>
      </c>
      <c r="E26" s="41">
        <f>('Industry Benchmark Analysis'!D7+'Industry Benchmark Analysis'!D8)/2</f>
        <v>5.4147256121131616E-2</v>
      </c>
      <c r="F26" s="15">
        <f>AVERAGE('Industry Benchmark Analysis'!D2:D8)</f>
        <v>5.7005549886389235E-2</v>
      </c>
      <c r="G26" t="s">
        <v>129</v>
      </c>
      <c r="H26" t="s">
        <v>130</v>
      </c>
    </row>
    <row r="28" spans="1:8" x14ac:dyDescent="0.25">
      <c r="A28" s="29" t="s">
        <v>55</v>
      </c>
    </row>
    <row r="29" spans="1:8" ht="30" x14ac:dyDescent="0.25">
      <c r="A29" t="s">
        <v>0</v>
      </c>
      <c r="B29" s="14" t="s">
        <v>111</v>
      </c>
      <c r="C29" s="14" t="s">
        <v>112</v>
      </c>
      <c r="D29" s="14" t="s">
        <v>177</v>
      </c>
      <c r="E29" s="14" t="s">
        <v>113</v>
      </c>
      <c r="F29" s="14" t="s">
        <v>124</v>
      </c>
      <c r="G29" s="14" t="s">
        <v>125</v>
      </c>
      <c r="H29" s="14" t="s">
        <v>126</v>
      </c>
    </row>
    <row r="30" spans="1:8" x14ac:dyDescent="0.25">
      <c r="A30" t="s">
        <v>12</v>
      </c>
      <c r="B30" s="31">
        <f>(Calculated_Ratios!F2+Calculated_Ratios!F3)/2</f>
        <v>0.36563251372588751</v>
      </c>
      <c r="C30" s="32">
        <f>Calculated_Ratios!F4</f>
        <v>0.37568994583943133</v>
      </c>
      <c r="D30" s="31">
        <f>(Calculated_Ratios!F5+Calculated_Ratios!F6)/2</f>
        <v>0.32736191128034614</v>
      </c>
      <c r="E30" s="33">
        <f>(Calculated_Ratios!F7+Calculated_Ratios!F8)/2</f>
        <v>0.28560064160152904</v>
      </c>
      <c r="F30" s="25">
        <f>AVERAGE(Calculated_Ratios!F2:F8)</f>
        <v>0.33326858272213661</v>
      </c>
      <c r="G30" t="s">
        <v>135</v>
      </c>
      <c r="H30" t="s">
        <v>130</v>
      </c>
    </row>
    <row r="31" spans="1:8" x14ac:dyDescent="0.25">
      <c r="A31" t="s">
        <v>20</v>
      </c>
      <c r="B31" s="34">
        <f>(Calculated_Ratios!F9+Calculated_Ratios!F10)/2</f>
        <v>0.37429929651103089</v>
      </c>
      <c r="C31" s="35">
        <f>Calculated_Ratios!F11</f>
        <v>0.35092097935273614</v>
      </c>
      <c r="D31" s="34">
        <f>(Calculated_Ratios!F12+Calculated_Ratios!F13)/2</f>
        <v>0.3068490787281587</v>
      </c>
      <c r="E31" s="36">
        <f>(Calculated_Ratios!F14+Calculated_Ratios!F15)/2</f>
        <v>0.32405370027466079</v>
      </c>
      <c r="F31" s="25">
        <f>AVERAGE(Calculated_Ratios!F9:F15)</f>
        <v>0.3373321614829195</v>
      </c>
      <c r="G31" t="s">
        <v>133</v>
      </c>
      <c r="H31" t="s">
        <v>134</v>
      </c>
    </row>
    <row r="32" spans="1:8" x14ac:dyDescent="0.25">
      <c r="A32" t="s">
        <v>28</v>
      </c>
      <c r="B32" s="31">
        <f>(Calculated_Ratios!F16+Calculated_Ratios!F17)/2</f>
        <v>0.40554517852531058</v>
      </c>
      <c r="C32" s="32">
        <f>Calculated_Ratios!F18</f>
        <v>0.46910665684254843</v>
      </c>
      <c r="D32" s="31">
        <f>(Calculated_Ratios!F19+Calculated_Ratios!F20)/2</f>
        <v>0.48789596556494536</v>
      </c>
      <c r="E32" s="33">
        <f>(Calculated_Ratios!F21+Calculated_Ratios!F22)/2</f>
        <v>0.48404002326888307</v>
      </c>
      <c r="F32" s="25">
        <f>AVERAGE(Calculated_Ratios!F16:F22)</f>
        <v>0.46058128450868946</v>
      </c>
      <c r="G32" s="25" t="s">
        <v>134</v>
      </c>
      <c r="H32" t="s">
        <v>133</v>
      </c>
    </row>
    <row r="33" spans="1:8" x14ac:dyDescent="0.25">
      <c r="A33" t="s">
        <v>29</v>
      </c>
      <c r="B33" s="34">
        <f>(Calculated_Ratios!F23+Calculated_Ratios!F24)/2</f>
        <v>0.65517763686307906</v>
      </c>
      <c r="C33" s="35">
        <f>Calculated_Ratios!F25</f>
        <v>0.66233793479629088</v>
      </c>
      <c r="D33" s="34">
        <f>(Calculated_Ratios!F26+Calculated_Ratios!F27)/2</f>
        <v>0.58606718117095735</v>
      </c>
      <c r="E33" s="36">
        <f>(Calculated_Ratios!F28+Calculated_Ratios!F29)/2</f>
        <v>0.58792529299731688</v>
      </c>
      <c r="F33" s="25">
        <f>AVERAGE(Calculated_Ratios!F23:F29)</f>
        <v>0.61723973669414256</v>
      </c>
      <c r="G33" t="s">
        <v>133</v>
      </c>
      <c r="H33" t="s">
        <v>130</v>
      </c>
    </row>
    <row r="34" spans="1:8" x14ac:dyDescent="0.25">
      <c r="A34" t="s">
        <v>30</v>
      </c>
      <c r="B34" s="31">
        <f>(Calculated_Ratios!F30+Calculated_Ratios!F31)/2</f>
        <v>0.63367515866759927</v>
      </c>
      <c r="C34" s="32">
        <f>Calculated_Ratios!F32</f>
        <v>0.8240418118466899</v>
      </c>
      <c r="D34" s="31">
        <f>(Calculated_Ratios!F33+Calculated_Ratios!F34)/2</f>
        <v>-1.5966972414936387E-2</v>
      </c>
      <c r="E34" s="33">
        <f>(Calculated_Ratios!F35+Calculated_Ratios!F36)/2</f>
        <v>0.67757630745183206</v>
      </c>
      <c r="F34" s="25">
        <f>AVERAGE(Calculated_Ratios!F30:F36)</f>
        <v>0.48780154275081145</v>
      </c>
      <c r="G34" t="s">
        <v>133</v>
      </c>
      <c r="H34" t="s">
        <v>130</v>
      </c>
    </row>
    <row r="35" spans="1:8" x14ac:dyDescent="0.25">
      <c r="A35" s="38" t="s">
        <v>78</v>
      </c>
      <c r="B35" s="39">
        <f>('Industry Benchmark Analysis'!E2+'Industry Benchmark Analysis'!E3)/2</f>
        <v>0.48686595685858147</v>
      </c>
      <c r="C35" s="40">
        <f>'Industry Benchmark Analysis'!E4</f>
        <v>0.53641946573553922</v>
      </c>
      <c r="D35" s="39">
        <f>('Industry Benchmark Analysis'!E5+'Industry Benchmark Analysis'!E6)/2</f>
        <v>0.33844143286589423</v>
      </c>
      <c r="E35" s="41">
        <f>('Industry Benchmark Analysis'!E7+'Industry Benchmark Analysis'!E8)/2</f>
        <v>0.47183919311884437</v>
      </c>
      <c r="F35" s="25">
        <f>AVERAGE('Industry Benchmark Analysis'!E2:E8)</f>
        <v>0.44724466163173987</v>
      </c>
      <c r="G35" t="s">
        <v>133</v>
      </c>
      <c r="H35" t="s">
        <v>130</v>
      </c>
    </row>
    <row r="37" spans="1:8" x14ac:dyDescent="0.25">
      <c r="A37" s="29" t="s">
        <v>98</v>
      </c>
    </row>
    <row r="38" spans="1:8" ht="30" x14ac:dyDescent="0.25">
      <c r="A38" s="1" t="s">
        <v>0</v>
      </c>
      <c r="B38" s="28" t="s">
        <v>117</v>
      </c>
      <c r="C38" s="28" t="s">
        <v>118</v>
      </c>
      <c r="D38" s="28" t="s">
        <v>178</v>
      </c>
      <c r="E38" s="28" t="s">
        <v>119</v>
      </c>
      <c r="F38" s="28" t="s">
        <v>136</v>
      </c>
      <c r="G38" s="28" t="s">
        <v>125</v>
      </c>
      <c r="H38" s="28" t="s">
        <v>126</v>
      </c>
    </row>
    <row r="39" spans="1:8" x14ac:dyDescent="0.25">
      <c r="A39" t="s">
        <v>12</v>
      </c>
      <c r="B39" s="15">
        <f>(Calculated_Ratios!G2+Calculated_Ratios!G3)/2</f>
        <v>2.877831572657364E-2</v>
      </c>
      <c r="C39" s="25">
        <f>Calculated_Ratios!G4</f>
        <v>3.9717726983378734E-2</v>
      </c>
      <c r="D39" s="15">
        <f>(Calculated_Ratios!G5+Calculated_Ratios!G6)/2</f>
        <v>2.6707034197073518E-2</v>
      </c>
      <c r="E39" s="15">
        <f>(Calculated_Ratios!G7+Calculated_Ratios!G8)/2</f>
        <v>2.2581934276428017E-2</v>
      </c>
      <c r="F39" s="15">
        <f>AVERAGE(Calculated_Ratios!G2:G8)</f>
        <v>2.7978899340504158E-2</v>
      </c>
      <c r="G39" s="15" t="s">
        <v>135</v>
      </c>
      <c r="H39" s="15" t="s">
        <v>130</v>
      </c>
    </row>
    <row r="40" spans="1:8" x14ac:dyDescent="0.25">
      <c r="A40" t="s">
        <v>20</v>
      </c>
      <c r="B40" s="15">
        <f>(Calculated_Ratios!G9+Calculated_Ratios!G10)/2</f>
        <v>2.9000006465431931E-2</v>
      </c>
      <c r="C40" s="25">
        <f>Calculated_Ratios!G11</f>
        <v>4.6999986513614832E-2</v>
      </c>
      <c r="D40" s="15">
        <f>(Calculated_Ratios!G12+Calculated_Ratios!G13)/2</f>
        <v>2.2999989962570883E-2</v>
      </c>
      <c r="E40" s="15">
        <f>(Calculated_Ratios!G14+Calculated_Ratios!G15)/2</f>
        <v>2.100000132645469E-2</v>
      </c>
      <c r="F40" s="15">
        <f>AVERAGE(Calculated_Ratios!G9:G15)</f>
        <v>2.757142600321855E-2</v>
      </c>
      <c r="G40" s="15" t="s">
        <v>135</v>
      </c>
      <c r="H40" s="15" t="s">
        <v>130</v>
      </c>
    </row>
    <row r="41" spans="1:8" x14ac:dyDescent="0.25">
      <c r="A41" t="s">
        <v>28</v>
      </c>
      <c r="B41" s="15">
        <f>(Calculated_Ratios!G16+Calculated_Ratios!G17)/2</f>
        <v>4.8959189056105371E-2</v>
      </c>
      <c r="C41" s="25">
        <f>Calculated_Ratios!G18</f>
        <v>7.5323385252942382E-2</v>
      </c>
      <c r="D41" s="15">
        <f>(Calculated_Ratios!G19+Calculated_Ratios!G20)/2</f>
        <v>4.3272558054036125E-2</v>
      </c>
      <c r="E41" s="15">
        <f>(Calculated_Ratios!G21+Calculated_Ratios!G22)/2</f>
        <v>3.5110983061181426E-2</v>
      </c>
      <c r="F41" s="15">
        <f>AVERAGE(Calculated_Ratios!G16:G22)</f>
        <v>4.7144120799369749E-2</v>
      </c>
      <c r="G41" s="15" t="s">
        <v>135</v>
      </c>
      <c r="H41" s="15" t="s">
        <v>130</v>
      </c>
    </row>
    <row r="42" spans="1:8" x14ac:dyDescent="0.25">
      <c r="A42" t="s">
        <v>29</v>
      </c>
      <c r="B42" s="15">
        <f>(Calculated_Ratios!G23+Calculated_Ratios!G24)/2</f>
        <v>4.4818546393989413E-3</v>
      </c>
      <c r="C42" s="25">
        <f>Calculated_Ratios!G25</f>
        <v>1.1491233154886229E-2</v>
      </c>
      <c r="D42" s="15">
        <f>(Calculated_Ratios!G26+Calculated_Ratios!G27)/2</f>
        <v>1.3124718993900004E-2</v>
      </c>
      <c r="E42" s="15">
        <f>(Calculated_Ratios!G28+Calculated_Ratios!G29)/2</f>
        <v>8.8961034962254E-3</v>
      </c>
      <c r="F42" s="15">
        <f>AVERAGE(Calculated_Ratios!G23:G29)</f>
        <v>9.2137982019907024E-3</v>
      </c>
      <c r="G42" s="15" t="s">
        <v>134</v>
      </c>
      <c r="H42" s="15" t="s">
        <v>133</v>
      </c>
    </row>
    <row r="43" spans="1:8" x14ac:dyDescent="0.25">
      <c r="A43" t="s">
        <v>30</v>
      </c>
      <c r="B43" s="15">
        <f>(Calculated_Ratios!G30+Calculated_Ratios!G31)/2</f>
        <v>3.5803911034330956E-2</v>
      </c>
      <c r="C43" s="25">
        <f>Calculated_Ratios!G32</f>
        <v>2.8643281820611027E-2</v>
      </c>
      <c r="D43" s="15">
        <f>(Calculated_Ratios!G33+Calculated_Ratios!G34)/2</f>
        <v>0.10437864982840842</v>
      </c>
      <c r="E43" s="15">
        <f>(Calculated_Ratios!G35+Calculated_Ratios!G36)/2</f>
        <v>0.42053934395967241</v>
      </c>
      <c r="F43" s="15">
        <f>AVERAGE(Calculated_Ratios!G30:G36)</f>
        <v>0.16429815592363353</v>
      </c>
      <c r="G43" s="15" t="s">
        <v>130</v>
      </c>
      <c r="H43" s="15" t="s">
        <v>135</v>
      </c>
    </row>
    <row r="44" spans="1:8" x14ac:dyDescent="0.25">
      <c r="A44" t="s">
        <v>78</v>
      </c>
      <c r="B44" s="15">
        <f>('Industry Benchmark Analysis'!F2+'Industry Benchmark Analysis'!F3)/2</f>
        <v>2.9404655384368164E-2</v>
      </c>
      <c r="C44" s="25">
        <f>'Industry Benchmark Analysis'!F4</f>
        <v>4.0435122745086635E-2</v>
      </c>
      <c r="D44" s="15">
        <f>('Industry Benchmark Analysis'!F5+'Industry Benchmark Analysis'!F6)/2</f>
        <v>4.209659020719779E-2</v>
      </c>
      <c r="E44" s="15">
        <f>('Industry Benchmark Analysis'!F7+'Industry Benchmark Analysis'!F8)/2</f>
        <v>0.10162567322399239</v>
      </c>
      <c r="F44" s="15">
        <f>AVERAGE('Industry Benchmark Analysis'!F2:F8)</f>
        <v>5.524128005374334E-2</v>
      </c>
      <c r="G44" s="15" t="s">
        <v>134</v>
      </c>
      <c r="H44" s="15" t="s">
        <v>135</v>
      </c>
    </row>
    <row r="46" spans="1:8" x14ac:dyDescent="0.25">
      <c r="A46" s="29" t="s">
        <v>120</v>
      </c>
    </row>
    <row r="47" spans="1:8" ht="45" x14ac:dyDescent="0.25">
      <c r="A47" s="1" t="s">
        <v>0</v>
      </c>
      <c r="B47" s="28" t="s">
        <v>121</v>
      </c>
      <c r="C47" s="28" t="s">
        <v>122</v>
      </c>
      <c r="D47" s="28" t="s">
        <v>179</v>
      </c>
      <c r="E47" s="28" t="s">
        <v>123</v>
      </c>
      <c r="F47" s="28" t="s">
        <v>124</v>
      </c>
      <c r="G47" s="28" t="s">
        <v>125</v>
      </c>
      <c r="H47" s="28" t="s">
        <v>126</v>
      </c>
    </row>
    <row r="48" spans="1:8" x14ac:dyDescent="0.25">
      <c r="A48" t="s">
        <v>12</v>
      </c>
      <c r="B48" s="15">
        <f>(Calculated_Ratios!H2+Calculated_Ratios!H3)/2</f>
        <v>0.3537549764998878</v>
      </c>
      <c r="C48" s="25">
        <f>Calculated_Ratios!H4</f>
        <v>0.35684428498598791</v>
      </c>
      <c r="D48" s="15">
        <f>(Calculated_Ratios!H5+Calculated_Ratios!H6)/2</f>
        <v>0.34690842232966257</v>
      </c>
      <c r="E48" s="15">
        <f>(Calculated_Ratios!H7+Calculated_Ratios!H8)/2</f>
        <v>0.34298570141064844</v>
      </c>
      <c r="F48" s="15">
        <f>AVERAGE(Calculated_Ratios!H2:H8)</f>
        <v>0.34916321220948365</v>
      </c>
      <c r="G48" s="15" t="s">
        <v>135</v>
      </c>
      <c r="H48" s="15" t="s">
        <v>130</v>
      </c>
    </row>
    <row r="49" spans="1:8" x14ac:dyDescent="0.25">
      <c r="A49" t="s">
        <v>20</v>
      </c>
      <c r="B49" s="15">
        <f>(Calculated_Ratios!H9+Calculated_Ratios!H10)/2</f>
        <v>0.37021134939681455</v>
      </c>
      <c r="C49" s="25">
        <f>Calculated_Ratios!H11</f>
        <v>0.37342583007047192</v>
      </c>
      <c r="D49" s="15">
        <f>(Calculated_Ratios!H12+Calculated_Ratios!H13)/2</f>
        <v>0.35304483513615637</v>
      </c>
      <c r="E49" s="15">
        <f>(Calculated_Ratios!H14+Calculated_Ratios!H15)/2</f>
        <v>0.35359765196747672</v>
      </c>
      <c r="F49" s="15">
        <f>AVERAGE(Calculated_Ratios!H9:H15)</f>
        <v>0.36101907186733817</v>
      </c>
      <c r="G49" s="15" t="s">
        <v>131</v>
      </c>
      <c r="H49" s="15" t="s">
        <v>130</v>
      </c>
    </row>
    <row r="50" spans="1:8" x14ac:dyDescent="0.25">
      <c r="A50" t="s">
        <v>28</v>
      </c>
      <c r="B50" s="15">
        <f>(Calculated_Ratios!H16+Calculated_Ratios!H17)/2</f>
        <v>0.33125950614691158</v>
      </c>
      <c r="C50" s="25">
        <f>Calculated_Ratios!H18</f>
        <v>0.29215391349329511</v>
      </c>
      <c r="D50" s="15">
        <f>(Calculated_Ratios!H19+Calculated_Ratios!H20)/2</f>
        <v>0.36512443668611594</v>
      </c>
      <c r="E50" s="15">
        <f>(Calculated_Ratios!H21+Calculated_Ratios!H22)/2</f>
        <v>0.3786665022221849</v>
      </c>
      <c r="F50" s="15">
        <f>AVERAGE(Calculated_Ratios!H16:H22)</f>
        <v>0.34889354337195994</v>
      </c>
      <c r="G50" s="15" t="s">
        <v>130</v>
      </c>
      <c r="H50" s="15" t="s">
        <v>127</v>
      </c>
    </row>
    <row r="51" spans="1:8" x14ac:dyDescent="0.25">
      <c r="A51" t="s">
        <v>29</v>
      </c>
      <c r="B51" s="15">
        <f>(Calculated_Ratios!H23+Calculated_Ratios!H24)/2</f>
        <v>0.48440783204194837</v>
      </c>
      <c r="C51" s="25">
        <f>Calculated_Ratios!H25</f>
        <v>0.45311274123553941</v>
      </c>
      <c r="D51" s="15">
        <f>(Calculated_Ratios!H26+Calculated_Ratios!H27)/2</f>
        <v>0.46688618824521144</v>
      </c>
      <c r="E51" s="15">
        <f>(Calculated_Ratios!H28+Calculated_Ratios!H29)/2</f>
        <v>0.44693307035346075</v>
      </c>
      <c r="F51" s="15">
        <f>AVERAGE(Calculated_Ratios!H23:H29)</f>
        <v>0.46422384607382583</v>
      </c>
      <c r="G51" s="15" t="s">
        <v>135</v>
      </c>
      <c r="H51" s="15" t="s">
        <v>129</v>
      </c>
    </row>
    <row r="52" spans="1:8" x14ac:dyDescent="0.25">
      <c r="A52" t="s">
        <v>30</v>
      </c>
      <c r="B52" s="15">
        <f>(Calculated_Ratios!H30+Calculated_Ratios!H31)/2</f>
        <v>0.35119504668070756</v>
      </c>
      <c r="C52" s="25">
        <f>Calculated_Ratios!H32</f>
        <v>0.37596620465002628</v>
      </c>
      <c r="D52" s="15">
        <f>(Calculated_Ratios!H33+Calculated_Ratios!H34)/2</f>
        <v>0.23035065868277141</v>
      </c>
      <c r="E52" s="15">
        <f>(Calculated_Ratios!H35+Calculated_Ratios!H36)/2</f>
        <v>0.21991084428935403</v>
      </c>
      <c r="F52" s="15">
        <f>AVERAGE(Calculated_Ratios!H30:H36)</f>
        <v>0.28269704342224178</v>
      </c>
      <c r="G52" s="15" t="s">
        <v>135</v>
      </c>
      <c r="H52" s="15" t="s">
        <v>130</v>
      </c>
    </row>
    <row r="53" spans="1:8" x14ac:dyDescent="0.25">
      <c r="A53" t="s">
        <v>78</v>
      </c>
      <c r="B53" s="15">
        <f>('Industry Benchmark Analysis'!G2+'Industry Benchmark Analysis'!G3)/2</f>
        <v>0.37816574215325394</v>
      </c>
      <c r="C53" s="25">
        <f>'Industry Benchmark Analysis'!G4</f>
        <v>0.37030059488706413</v>
      </c>
      <c r="D53" s="15">
        <f>('Industry Benchmark Analysis'!G5+'Industry Benchmark Analysis'!G6)/2</f>
        <v>0.35246290821598358</v>
      </c>
      <c r="E53" s="15">
        <f>('Industry Benchmark Analysis'!G7+'Industry Benchmark Analysis'!G8)/2</f>
        <v>0.34841875404862499</v>
      </c>
      <c r="F53" s="15">
        <f>AVERAGE('Industry Benchmark Analysis'!G2:G8)</f>
        <v>0.36119934338896986</v>
      </c>
      <c r="G53" s="15" t="s">
        <v>135</v>
      </c>
      <c r="H53" s="15" t="s">
        <v>129</v>
      </c>
    </row>
    <row r="55" spans="1:8" x14ac:dyDescent="0.25">
      <c r="A55" s="29" t="s">
        <v>80</v>
      </c>
    </row>
    <row r="56" spans="1:8" ht="45" x14ac:dyDescent="0.25">
      <c r="A56" s="1" t="s">
        <v>0</v>
      </c>
      <c r="B56" s="28" t="s">
        <v>121</v>
      </c>
      <c r="C56" s="28" t="s">
        <v>122</v>
      </c>
      <c r="D56" s="28" t="s">
        <v>179</v>
      </c>
      <c r="E56" s="28" t="s">
        <v>123</v>
      </c>
      <c r="F56" s="28" t="s">
        <v>124</v>
      </c>
      <c r="G56" s="28" t="s">
        <v>125</v>
      </c>
      <c r="H56" s="28" t="s">
        <v>126</v>
      </c>
    </row>
    <row r="57" spans="1:8" x14ac:dyDescent="0.25">
      <c r="A57" t="s">
        <v>12</v>
      </c>
      <c r="B57" s="21">
        <f>(Calculated_Ratios!I2+Calculated_Ratios!I3)/2</f>
        <v>8.5365941352094374</v>
      </c>
      <c r="C57" s="21">
        <f>Calculated_Ratios!I4</f>
        <v>8.7810314613519029</v>
      </c>
      <c r="D57" s="21">
        <f>(Calculated_Ratios!I5+Calculated_Ratios!I6)/2</f>
        <v>8.4680914198056954</v>
      </c>
      <c r="E57" s="21">
        <f>(Calculated_Ratios!I7+Calculated_Ratios!I8)/2</f>
        <v>7.1309758504532592</v>
      </c>
      <c r="F57" s="21">
        <f>AVERAGE(Calculated_Ratios!I2:I8)</f>
        <v>8.1503363246126685</v>
      </c>
      <c r="G57" s="37" t="s">
        <v>127</v>
      </c>
      <c r="H57" s="37" t="s">
        <v>130</v>
      </c>
    </row>
    <row r="58" spans="1:8" x14ac:dyDescent="0.25">
      <c r="A58" t="s">
        <v>20</v>
      </c>
      <c r="B58" s="21">
        <f>(Calculated_Ratios!I9+Calculated_Ratios!I10)/2</f>
        <v>7.2196607174062013</v>
      </c>
      <c r="C58" s="21">
        <f>Calculated_Ratios!I11</f>
        <v>7.5916477212326248</v>
      </c>
      <c r="D58" s="21">
        <f>(Calculated_Ratios!I12+Calculated_Ratios!I13)/2</f>
        <v>6.9496589843325483</v>
      </c>
      <c r="E58" s="21">
        <f>(Calculated_Ratios!I14+Calculated_Ratios!I15)/2</f>
        <v>6.7363016640234932</v>
      </c>
      <c r="F58" s="21">
        <f>AVERAGE(Calculated_Ratios!I9:I15)</f>
        <v>7.0575557789653018</v>
      </c>
      <c r="G58" s="37" t="s">
        <v>127</v>
      </c>
      <c r="H58" s="37" t="s">
        <v>130</v>
      </c>
    </row>
    <row r="59" spans="1:8" x14ac:dyDescent="0.25">
      <c r="A59" t="s">
        <v>28</v>
      </c>
      <c r="B59" s="21">
        <f>(Calculated_Ratios!I16+Calculated_Ratios!I17)/2</f>
        <v>5.8219420904371111</v>
      </c>
      <c r="C59" s="21">
        <f>Calculated_Ratios!I18</f>
        <v>6.3619778305835339</v>
      </c>
      <c r="D59" s="21">
        <f>(Calculated_Ratios!I19+Calculated_Ratios!I20)/2</f>
        <v>6.2044101801289138</v>
      </c>
      <c r="E59" s="21">
        <f>(Calculated_Ratios!I21+Calculated_Ratios!I22)/2</f>
        <v>6.8134951965295905</v>
      </c>
      <c r="F59" s="21">
        <f>AVERAGE(Calculated_Ratios!I16:I22)</f>
        <v>6.2916675378249662</v>
      </c>
      <c r="G59" s="37" t="s">
        <v>131</v>
      </c>
      <c r="H59" s="37" t="s">
        <v>127</v>
      </c>
    </row>
    <row r="60" spans="1:8" x14ac:dyDescent="0.25">
      <c r="A60" t="s">
        <v>29</v>
      </c>
      <c r="B60" s="21">
        <f>(Calculated_Ratios!I23+Calculated_Ratios!I24)/2</f>
        <v>5.9495500268781276</v>
      </c>
      <c r="C60" s="21">
        <f>Calculated_Ratios!I25</f>
        <v>7.4624153563096298</v>
      </c>
      <c r="D60" s="21">
        <f>(Calculated_Ratios!I26+Calculated_Ratios!I27)/2</f>
        <v>8.0349280688891032</v>
      </c>
      <c r="E60" s="21">
        <f>(Calculated_Ratios!I28+Calculated_Ratios!I29)/2</f>
        <v>8.1209532517766263</v>
      </c>
      <c r="F60" s="21">
        <f>AVERAGE(Calculated_Ratios!I23:I29)</f>
        <v>7.3818968644853351</v>
      </c>
      <c r="G60" s="37" t="s">
        <v>130</v>
      </c>
      <c r="H60" s="37" t="s">
        <v>127</v>
      </c>
    </row>
    <row r="61" spans="1:8" x14ac:dyDescent="0.25">
      <c r="A61" t="s">
        <v>30</v>
      </c>
      <c r="B61" s="21">
        <f>(Calculated_Ratios!I30+Calculated_Ratios!I31)/2</f>
        <v>6.460200828492968</v>
      </c>
      <c r="C61" s="21">
        <f>Calculated_Ratios!I32</f>
        <v>6.4499870065439771</v>
      </c>
      <c r="D61" s="21">
        <f>(Calculated_Ratios!I33+Calculated_Ratios!I34)/2</f>
        <v>4.9192334382166099</v>
      </c>
      <c r="E61" s="21">
        <f>(Calculated_Ratios!I35+Calculated_Ratios!I36)/2</f>
        <v>1.4241469914106992</v>
      </c>
      <c r="F61" s="21">
        <f>AVERAGE(Calculated_Ratios!I30:I36)</f>
        <v>4.5795927889692178</v>
      </c>
      <c r="G61" s="37" t="s">
        <v>127</v>
      </c>
      <c r="H61" s="37" t="s">
        <v>129</v>
      </c>
    </row>
    <row r="62" spans="1:8" x14ac:dyDescent="0.25">
      <c r="A62" t="s">
        <v>78</v>
      </c>
      <c r="B62" s="21">
        <f>('Industry Benchmark Analysis'!H2+'Industry Benchmark Analysis'!H3)/2</f>
        <v>6.7975895596847691</v>
      </c>
      <c r="C62" s="21">
        <f>'Industry Benchmark Analysis'!H4</f>
        <v>7.3294118752043333</v>
      </c>
      <c r="D62" s="21">
        <f>('Industry Benchmark Analysis'!H5+'Industry Benchmark Analysis'!H6)/2</f>
        <v>6.9152644182745746</v>
      </c>
      <c r="E62" s="21">
        <f>('Industry Benchmark Analysis'!H7+'Industry Benchmark Analysis'!H8)/2</f>
        <v>6.0451745908387338</v>
      </c>
      <c r="F62" s="21">
        <f>AVERAGE('Industry Benchmark Analysis'!H2:H8)</f>
        <v>6.6922098589714967</v>
      </c>
      <c r="G62" s="37" t="s">
        <v>127</v>
      </c>
      <c r="H62" s="37" t="s">
        <v>130</v>
      </c>
    </row>
  </sheetData>
  <pageMargins left="0.7" right="0.7" top="0.75" bottom="0.75" header="0.3" footer="0.3"/>
  <drawing r:id="rId1"/>
  <tableParts count="7">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4F2C-F2BA-4E60-A0FD-E3BD1B3ABF04}">
  <dimension ref="A1"/>
  <sheetViews>
    <sheetView workbookViewId="0"/>
  </sheetViews>
  <sheetFormatPr defaultRowHeight="15"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4312F-06D5-44E0-8B62-F3C7A40F6963}">
  <dimension ref="A1:I16"/>
  <sheetViews>
    <sheetView zoomScale="60" zoomScaleNormal="100" workbookViewId="0">
      <selection activeCell="I15" sqref="I15"/>
    </sheetView>
  </sheetViews>
  <sheetFormatPr defaultRowHeight="15" x14ac:dyDescent="0.25"/>
  <cols>
    <col min="1" max="1" width="10.85546875" customWidth="1"/>
    <col min="2" max="2" width="14.42578125" customWidth="1"/>
    <col min="3" max="3" width="11.7109375" customWidth="1"/>
    <col min="4" max="4" width="12.7109375" customWidth="1"/>
    <col min="5" max="5" width="18.7109375" customWidth="1"/>
    <col min="6" max="6" width="13.28515625" customWidth="1"/>
    <col min="7" max="7" width="12" customWidth="1"/>
    <col min="8" max="8" width="14.42578125" bestFit="1" customWidth="1"/>
    <col min="9" max="9" width="9.85546875" customWidth="1"/>
  </cols>
  <sheetData>
    <row r="1" spans="1:9" x14ac:dyDescent="0.25">
      <c r="A1" t="s">
        <v>167</v>
      </c>
    </row>
    <row r="2" spans="1:9" ht="60" x14ac:dyDescent="0.25">
      <c r="A2" t="s">
        <v>0</v>
      </c>
      <c r="B2" s="14" t="s">
        <v>168</v>
      </c>
      <c r="C2" s="14" t="s">
        <v>169</v>
      </c>
      <c r="D2" s="14" t="s">
        <v>170</v>
      </c>
      <c r="E2" s="14" t="s">
        <v>189</v>
      </c>
      <c r="F2" s="14" t="s">
        <v>180</v>
      </c>
      <c r="G2" s="14" t="s">
        <v>171</v>
      </c>
      <c r="H2" s="14" t="s">
        <v>172</v>
      </c>
      <c r="I2" s="14" t="s">
        <v>173</v>
      </c>
    </row>
    <row r="3" spans="1:9" x14ac:dyDescent="0.25">
      <c r="A3" t="s">
        <v>12</v>
      </c>
      <c r="B3" s="25">
        <f>'Economic Phase Analysis'!B3</f>
        <v>2.8270135365192042E-2</v>
      </c>
      <c r="C3" s="25">
        <f>'Economic Phase Analysis'!C3</f>
        <v>1.5289913238280335E-2</v>
      </c>
      <c r="D3" s="25">
        <f>C3-B3</f>
        <v>-1.2980222126911706E-2</v>
      </c>
      <c r="E3" s="25">
        <f>'Economic Phase Analysis'!D3</f>
        <v>3.5806708723720347E-2</v>
      </c>
      <c r="F3" s="15">
        <f>E3/B3</f>
        <v>1.266591343167313</v>
      </c>
      <c r="G3" s="25">
        <f>'Economic Phase Analysis'!E3</f>
        <v>4.8325267060236918E-2</v>
      </c>
      <c r="H3" t="s">
        <v>181</v>
      </c>
      <c r="I3" t="s">
        <v>184</v>
      </c>
    </row>
    <row r="4" spans="1:9" x14ac:dyDescent="0.25">
      <c r="A4" t="s">
        <v>20</v>
      </c>
      <c r="B4" s="25">
        <f>'Economic Phase Analysis'!B4</f>
        <v>3.1426261845139143E-2</v>
      </c>
      <c r="C4" s="25">
        <f>'Economic Phase Analysis'!C4</f>
        <v>1.6570701117635468E-2</v>
      </c>
      <c r="D4" s="25">
        <f t="shared" ref="D4:D7" si="0">C4-B4</f>
        <v>-1.4855560727503676E-2</v>
      </c>
      <c r="E4" s="25">
        <f>'Economic Phase Analysis'!D4</f>
        <v>3.7687934788825705E-2</v>
      </c>
      <c r="F4" s="15">
        <f t="shared" ref="F4:F7" si="1">E4/B4</f>
        <v>1.199249690419514</v>
      </c>
      <c r="G4" s="25">
        <f>'Economic Phase Analysis'!E4</f>
        <v>3.6548450456413341E-2</v>
      </c>
      <c r="H4" t="s">
        <v>181</v>
      </c>
      <c r="I4" t="s">
        <v>185</v>
      </c>
    </row>
    <row r="5" spans="1:9" x14ac:dyDescent="0.25">
      <c r="A5" t="s">
        <v>28</v>
      </c>
      <c r="B5" s="25">
        <f>'Economic Phase Analysis'!B5</f>
        <v>2.588079146445596E-2</v>
      </c>
      <c r="C5" s="25">
        <f>'Economic Phase Analysis'!C5</f>
        <v>1.2850529890042843E-2</v>
      </c>
      <c r="D5" s="25">
        <f t="shared" si="0"/>
        <v>-1.3030261574413117E-2</v>
      </c>
      <c r="E5" s="25">
        <f>'Economic Phase Analysis'!D5</f>
        <v>2.4112706069321553E-2</v>
      </c>
      <c r="F5" s="15">
        <f t="shared" si="1"/>
        <v>0.93168348821315405</v>
      </c>
      <c r="G5" s="25">
        <f>'Economic Phase Analysis'!E5</f>
        <v>2.2706632432605744E-2</v>
      </c>
      <c r="H5" t="s">
        <v>182</v>
      </c>
      <c r="I5" t="s">
        <v>186</v>
      </c>
    </row>
    <row r="6" spans="1:9" x14ac:dyDescent="0.25">
      <c r="A6" t="s">
        <v>29</v>
      </c>
      <c r="B6" s="25">
        <f>'Economic Phase Analysis'!B6</f>
        <v>3.1043449959649329E-2</v>
      </c>
      <c r="C6" s="25">
        <f>'Economic Phase Analysis'!C6</f>
        <v>9.1995275689286757E-3</v>
      </c>
      <c r="D6" s="25">
        <f t="shared" si="0"/>
        <v>-2.1843922390720652E-2</v>
      </c>
      <c r="E6" s="25">
        <f>'Economic Phase Analysis'!D6</f>
        <v>2.3289331976661339E-2</v>
      </c>
      <c r="F6" s="15">
        <f t="shared" si="1"/>
        <v>0.75021726022504287</v>
      </c>
      <c r="G6" s="25">
        <f>'Economic Phase Analysis'!E6</f>
        <v>2.1205273965716028E-2</v>
      </c>
      <c r="H6" t="s">
        <v>182</v>
      </c>
      <c r="I6" t="s">
        <v>187</v>
      </c>
    </row>
    <row r="7" spans="1:9" x14ac:dyDescent="0.25">
      <c r="A7" t="s">
        <v>30</v>
      </c>
      <c r="B7" s="25">
        <f>'Economic Phase Analysis'!B7</f>
        <v>1.7213861818287397E-2</v>
      </c>
      <c r="C7" s="25">
        <f>'Economic Phase Analysis'!C7</f>
        <v>1.3977967721537367E-2</v>
      </c>
      <c r="D7" s="25">
        <f t="shared" si="0"/>
        <v>-3.2358940967500294E-3</v>
      </c>
      <c r="E7" s="25">
        <f>'Economic Phase Analysis'!D7</f>
        <v>-2.2984882216661725E-2</v>
      </c>
      <c r="F7" s="15">
        <f t="shared" si="1"/>
        <v>-1.335254253769099</v>
      </c>
      <c r="G7" s="25">
        <f>'Economic Phase Analysis'!E7</f>
        <v>9.7342833686818349E-3</v>
      </c>
      <c r="H7" t="s">
        <v>183</v>
      </c>
      <c r="I7" t="s">
        <v>188</v>
      </c>
    </row>
    <row r="10" spans="1:9" x14ac:dyDescent="0.25">
      <c r="A10" t="s">
        <v>190</v>
      </c>
    </row>
    <row r="11" spans="1:9" ht="60" x14ac:dyDescent="0.25">
      <c r="A11" t="s">
        <v>0</v>
      </c>
      <c r="B11" s="14" t="s">
        <v>191</v>
      </c>
      <c r="C11" s="14" t="s">
        <v>192</v>
      </c>
      <c r="D11" s="14" t="s">
        <v>193</v>
      </c>
      <c r="E11" s="14" t="s">
        <v>194</v>
      </c>
      <c r="F11" s="14" t="s">
        <v>195</v>
      </c>
      <c r="G11" s="14" t="s">
        <v>196</v>
      </c>
      <c r="H11" s="14" t="s">
        <v>172</v>
      </c>
      <c r="I11" s="14" t="s">
        <v>173</v>
      </c>
    </row>
    <row r="12" spans="1:9" x14ac:dyDescent="0.25">
      <c r="A12" t="s">
        <v>12</v>
      </c>
      <c r="B12" s="25">
        <f>'Economic Phase Analysis'!B12</f>
        <v>0.24159159059500301</v>
      </c>
      <c r="C12" s="25">
        <f>'Economic Phase Analysis'!C12</f>
        <v>0.13426120918668058</v>
      </c>
      <c r="D12" s="25">
        <f>C12-B12</f>
        <v>-0.10733038140832243</v>
      </c>
      <c r="E12" s="25">
        <f>'Economic Phase Analysis'!D12</f>
        <v>0.30417816549515209</v>
      </c>
      <c r="F12" s="15">
        <f>E12/B12</f>
        <v>1.2590594099157506</v>
      </c>
      <c r="G12" s="25">
        <f>'Economic Phase Analysis'!E12</f>
        <v>0.34415570738971746</v>
      </c>
      <c r="H12" t="s">
        <v>181</v>
      </c>
      <c r="I12" t="s">
        <v>184</v>
      </c>
    </row>
    <row r="13" spans="1:9" x14ac:dyDescent="0.25">
      <c r="A13" t="s">
        <v>20</v>
      </c>
      <c r="B13" s="25">
        <f>'Economic Phase Analysis'!B13</f>
        <v>0.22693262148933191</v>
      </c>
      <c r="C13" s="25">
        <f>'Economic Phase Analysis'!C13</f>
        <v>0.12579892537892423</v>
      </c>
      <c r="D13" s="25">
        <f t="shared" ref="D13:D16" si="2">C13-B13</f>
        <v>-0.10113369611040768</v>
      </c>
      <c r="E13" s="25">
        <f>'Economic Phase Analysis'!D13</f>
        <v>0.26152589659220227</v>
      </c>
      <c r="F13" s="15">
        <f t="shared" ref="F13:F16" si="3">E13/B13</f>
        <v>1.1524385294447259</v>
      </c>
      <c r="G13" s="25">
        <f>'Economic Phase Analysis'!E13</f>
        <v>0.24615401970718792</v>
      </c>
      <c r="H13" t="s">
        <v>181</v>
      </c>
      <c r="I13" t="s">
        <v>185</v>
      </c>
    </row>
    <row r="14" spans="1:9" x14ac:dyDescent="0.25">
      <c r="A14" t="s">
        <v>28</v>
      </c>
      <c r="B14" s="25">
        <f>'Economic Phase Analysis'!B14</f>
        <v>0.1505492304637962</v>
      </c>
      <c r="C14" s="25">
        <f>'Economic Phase Analysis'!C14</f>
        <v>8.1754786271703614E-2</v>
      </c>
      <c r="D14" s="25">
        <f t="shared" si="2"/>
        <v>-6.8794444192092588E-2</v>
      </c>
      <c r="E14" s="25">
        <f>'Economic Phase Analysis'!D14</f>
        <v>7.2893545443558333E-2</v>
      </c>
      <c r="F14" s="15">
        <f t="shared" si="3"/>
        <v>0.48418411186158561</v>
      </c>
      <c r="G14" s="25">
        <f>'Economic Phase Analysis'!E14</f>
        <v>0.15469872736214801</v>
      </c>
      <c r="H14" t="s">
        <v>182</v>
      </c>
      <c r="I14" t="s">
        <v>187</v>
      </c>
    </row>
    <row r="15" spans="1:9" x14ac:dyDescent="0.25">
      <c r="A15" t="s">
        <v>29</v>
      </c>
      <c r="B15" s="25">
        <f>'Economic Phase Analysis'!B15</f>
        <v>0.18546809953231819</v>
      </c>
      <c r="C15" s="25">
        <f>'Economic Phase Analysis'!C15</f>
        <v>6.8650695801167144E-2</v>
      </c>
      <c r="D15" s="25">
        <f t="shared" si="2"/>
        <v>-0.11681740373115104</v>
      </c>
      <c r="E15" s="25">
        <f>'Economic Phase Analysis'!D15</f>
        <v>0.18711724263716067</v>
      </c>
      <c r="F15" s="15">
        <f t="shared" si="3"/>
        <v>1.0088917884477224</v>
      </c>
      <c r="G15" s="25">
        <f>'Economic Phase Analysis'!E15</f>
        <v>2.1205273965716028E-2</v>
      </c>
      <c r="H15" t="s">
        <v>182</v>
      </c>
      <c r="I15" t="s">
        <v>186</v>
      </c>
    </row>
    <row r="16" spans="1:9" x14ac:dyDescent="0.25">
      <c r="A16" t="s">
        <v>30</v>
      </c>
      <c r="B16" s="25">
        <f>'Economic Phase Analysis'!B16</f>
        <v>0.11104735092524465</v>
      </c>
      <c r="C16" s="25">
        <f>'Economic Phase Analysis'!C16</f>
        <v>9.0157710181807141E-2</v>
      </c>
      <c r="D16" s="25">
        <f t="shared" si="2"/>
        <v>-2.0889640743437507E-2</v>
      </c>
      <c r="E16" s="25">
        <f>'Economic Phase Analysis'!D16</f>
        <v>-6.7446304703107446E-2</v>
      </c>
      <c r="F16" s="15">
        <f t="shared" si="3"/>
        <v>-0.60736527383270267</v>
      </c>
      <c r="G16" s="25">
        <f>'Economic Phase Analysis'!E16</f>
        <v>1.3523072031085987E-2</v>
      </c>
      <c r="H16" t="s">
        <v>183</v>
      </c>
      <c r="I16" t="s">
        <v>188</v>
      </c>
    </row>
  </sheetData>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C96A5-77CB-4FA8-BE8D-D10D806B7640}">
  <dimension ref="A1:E14"/>
  <sheetViews>
    <sheetView zoomScale="69" workbookViewId="0">
      <selection activeCell="D10" sqref="D10"/>
    </sheetView>
  </sheetViews>
  <sheetFormatPr defaultRowHeight="15" x14ac:dyDescent="0.25"/>
  <cols>
    <col min="1" max="1" width="24.28515625" bestFit="1" customWidth="1"/>
    <col min="2" max="2" width="16.5703125" customWidth="1"/>
    <col min="3" max="3" width="16.28515625" customWidth="1"/>
  </cols>
  <sheetData>
    <row r="1" spans="1:5" x14ac:dyDescent="0.25">
      <c r="A1" t="s">
        <v>197</v>
      </c>
      <c r="B1" t="s">
        <v>202</v>
      </c>
      <c r="C1" t="s">
        <v>203</v>
      </c>
      <c r="E1" t="s">
        <v>201</v>
      </c>
    </row>
    <row r="2" spans="1:5" x14ac:dyDescent="0.25">
      <c r="A2" t="s">
        <v>199</v>
      </c>
      <c r="B2" s="58">
        <f>CORREL(Calculated_Ratios!C2:C36,Calculated_Ratios!E2:E36)</f>
        <v>0.18514247614361051</v>
      </c>
      <c r="C2" s="58">
        <f>CORREL(Calculated_Ratios!D2:D36,Calculated_Ratios!E2:E36)</f>
        <v>0.1991953519561227</v>
      </c>
    </row>
    <row r="3" spans="1:5" x14ac:dyDescent="0.25">
      <c r="A3" t="s">
        <v>200</v>
      </c>
      <c r="B3" s="58">
        <f>CORREL(Calculated_Ratios!C2:C36,Calculated_Ratios!F2:F36)</f>
        <v>0.35508978537683383</v>
      </c>
      <c r="C3" s="58">
        <f>CORREL(Calculated_Ratios!D2:D36,Calculated_Ratios!F2:F36)</f>
        <v>0.13545700880132092</v>
      </c>
    </row>
    <row r="4" spans="1:5" x14ac:dyDescent="0.25">
      <c r="A4" t="s">
        <v>64</v>
      </c>
      <c r="B4" s="58">
        <f>CORREL(Calculated_Ratios!C2:C36,Calculated_Ratios!G2:G36)</f>
        <v>-0.34430057955571036</v>
      </c>
      <c r="C4" s="58">
        <f>CORREL(Calculated_Ratios!D2:D36,Calculated_Ratios!G2:G36)</f>
        <v>-0.49403499070572648</v>
      </c>
    </row>
    <row r="5" spans="1:5" x14ac:dyDescent="0.25">
      <c r="A5" t="s">
        <v>73</v>
      </c>
      <c r="B5" s="58">
        <f>CORREL(Calculated_Ratios!C2:C36,Calculated_Ratios!H2:H36)</f>
        <v>0.54160621810538434</v>
      </c>
      <c r="C5" s="58">
        <f>CORREL(Calculated_Ratios!D2:D36,Calculated_Ratios!H2:H36)</f>
        <v>0.50495440361028776</v>
      </c>
    </row>
    <row r="6" spans="1:5" x14ac:dyDescent="0.25">
      <c r="A6" t="s">
        <v>80</v>
      </c>
      <c r="B6" s="58">
        <f>CORREL(Calculated_Ratios!C2:C36,Calculated_Ratios!I2:I36)</f>
        <v>0.43717808049465651</v>
      </c>
      <c r="C6" s="58">
        <f>CORREL(Calculated_Ratios!D2:D36,Calculated_Ratios!I2:I36)</f>
        <v>0.62321707469917842</v>
      </c>
    </row>
    <row r="9" spans="1:5" x14ac:dyDescent="0.25">
      <c r="A9" t="s">
        <v>197</v>
      </c>
      <c r="B9" t="s">
        <v>202</v>
      </c>
      <c r="C9" t="s">
        <v>198</v>
      </c>
      <c r="E9" t="s">
        <v>204</v>
      </c>
    </row>
    <row r="10" spans="1:5" x14ac:dyDescent="0.25">
      <c r="A10" t="s">
        <v>199</v>
      </c>
      <c r="B10" s="58">
        <f>CORREL(Calculated_Ratios!C2:C29,Calculated_Ratios!E2:E29)</f>
        <v>-0.13785450396066867</v>
      </c>
      <c r="C10" s="58">
        <f>CORREL(Calculated_Ratios!D2:D29,Calculated_Ratios!E2:E29)</f>
        <v>-0.14848107053220919</v>
      </c>
    </row>
    <row r="11" spans="1:5" x14ac:dyDescent="0.25">
      <c r="A11" t="s">
        <v>200</v>
      </c>
      <c r="B11" s="58">
        <f>CORREL(Calculated_Ratios!C2:C29,Calculated_Ratios!F2:F29)</f>
        <v>-0.58868357797199444</v>
      </c>
      <c r="C11" s="58">
        <f>CORREL(Calculated_Ratios!D2:D29,Calculated_Ratios!F2:F29)</f>
        <v>-0.62823014295531809</v>
      </c>
    </row>
    <row r="12" spans="1:5" x14ac:dyDescent="0.25">
      <c r="A12" t="s">
        <v>64</v>
      </c>
      <c r="B12" s="58">
        <f>CORREL(Calculated_Ratios!C2:C29,Calculated_Ratios!G2:G29)</f>
        <v>-0.31412335154351279</v>
      </c>
      <c r="C12" s="58">
        <f>CORREL(Calculated_Ratios!D2:D29,Calculated_Ratios!G2:G29)</f>
        <v>-0.35110544390422221</v>
      </c>
    </row>
    <row r="13" spans="1:5" x14ac:dyDescent="0.25">
      <c r="A13" t="s">
        <v>73</v>
      </c>
      <c r="B13" s="58">
        <f>CORREL(Calculated_Ratios!C2:C29,Calculated_Ratios!H2:H29)</f>
        <v>-0.20760512138066997</v>
      </c>
      <c r="C13" s="58">
        <f>CORREL(Calculated_Ratios!D2:D29,Calculated_Ratios!H2:H29)</f>
        <v>-0.20869459301801149</v>
      </c>
    </row>
    <row r="14" spans="1:5" x14ac:dyDescent="0.25">
      <c r="A14" t="s">
        <v>80</v>
      </c>
      <c r="B14" s="58">
        <f>CORREL(Calculated_Ratios!C2:C29,Calculated_Ratios!I2:I29)</f>
        <v>-7.5886737841419874E-2</v>
      </c>
      <c r="C14" s="58">
        <f>CORREL(Calculated_Ratios!D2:D29,Calculated_Ratios!I2:I29)</f>
        <v>0.26593673928481498</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C732-05BA-4944-BF2A-CD441F7BDFDE}">
  <dimension ref="A1:H37"/>
  <sheetViews>
    <sheetView topLeftCell="A13" zoomScale="62" workbookViewId="0">
      <selection activeCell="H41" sqref="H41"/>
    </sheetView>
  </sheetViews>
  <sheetFormatPr defaultRowHeight="15" x14ac:dyDescent="0.25"/>
  <cols>
    <col min="1" max="1" width="31.140625" bestFit="1" customWidth="1"/>
    <col min="2" max="2" width="31.28515625" bestFit="1" customWidth="1"/>
    <col min="3" max="3" width="10.42578125" customWidth="1"/>
    <col min="4" max="4" width="14.5703125" bestFit="1" customWidth="1"/>
    <col min="5" max="5" width="12.7109375" bestFit="1" customWidth="1"/>
    <col min="6" max="6" width="11.85546875" customWidth="1"/>
    <col min="7" max="7" width="19.5703125" bestFit="1" customWidth="1"/>
    <col min="8" max="8" width="21.85546875" customWidth="1"/>
  </cols>
  <sheetData>
    <row r="1" spans="1:8" s="1" customFormat="1" x14ac:dyDescent="0.25">
      <c r="A1" s="1" t="s">
        <v>0</v>
      </c>
      <c r="B1" s="1" t="s">
        <v>138</v>
      </c>
      <c r="C1" s="1" t="s">
        <v>139</v>
      </c>
      <c r="D1" s="1" t="s">
        <v>140</v>
      </c>
      <c r="E1" s="1" t="s">
        <v>141</v>
      </c>
      <c r="F1" s="1" t="s">
        <v>142</v>
      </c>
      <c r="G1" s="1" t="s">
        <v>143</v>
      </c>
      <c r="H1" s="1" t="s">
        <v>144</v>
      </c>
    </row>
    <row r="2" spans="1:8" x14ac:dyDescent="0.25">
      <c r="A2" t="s">
        <v>12</v>
      </c>
      <c r="B2" s="25">
        <f>AVERAGE(Calculated_Ratios!C2:C8)</f>
        <v>3.4299162219511278E-2</v>
      </c>
      <c r="C2" s="25">
        <f>AVERAGE(Calculated_Ratios!D2:D8)</f>
        <v>0.27344459087806078</v>
      </c>
      <c r="D2" s="25">
        <f>AVERAGE(Calculated_Ratios!E2:E8)</f>
        <v>4.7496838502989643E-2</v>
      </c>
      <c r="E2" s="25">
        <f>AVERAGE(Calculated_Ratios!F2:F8)</f>
        <v>0.33326858272213661</v>
      </c>
      <c r="F2" s="25">
        <f>AVERAGE(Calculated_Ratios!G2:G8)</f>
        <v>2.7978899340504158E-2</v>
      </c>
      <c r="G2" s="25">
        <f>AVERAGE(Calculated_Ratios!H2:H8)</f>
        <v>0.34916321220948365</v>
      </c>
      <c r="H2" s="21">
        <f>AVERAGE(Calculated_Ratios!I2:I8)</f>
        <v>8.1503363246126685</v>
      </c>
    </row>
    <row r="3" spans="1:8" x14ac:dyDescent="0.25">
      <c r="A3" t="s">
        <v>20</v>
      </c>
      <c r="B3" s="25">
        <f>AVERAGE(Calculated_Ratios!C9:C15)</f>
        <v>3.2556570756913122E-2</v>
      </c>
      <c r="C3" s="25">
        <f>AVERAGE(Calculated_Ratios!D9:D15)</f>
        <v>0.22786057156519551</v>
      </c>
      <c r="D3" s="25">
        <f>AVERAGE(Calculated_Ratios!E9:E15)</f>
        <v>4.684410885518283E-2</v>
      </c>
      <c r="E3" s="25">
        <f>AVERAGE(Calculated_Ratios!F9:F15)</f>
        <v>0.3373321614829195</v>
      </c>
      <c r="F3" s="25">
        <f>AVERAGE(Calculated_Ratios!G9:G15)</f>
        <v>2.757142600321855E-2</v>
      </c>
      <c r="G3" s="25">
        <f>AVERAGE(Calculated_Ratios!H9:H15)</f>
        <v>0.36101907186733817</v>
      </c>
      <c r="H3" s="21">
        <f>AVERAGE(Calculated_Ratios!I9:I15)</f>
        <v>7.0575557789653018</v>
      </c>
    </row>
    <row r="4" spans="1:8" x14ac:dyDescent="0.25">
      <c r="A4" t="s">
        <v>28</v>
      </c>
      <c r="B4" s="25">
        <f>AVERAGE(Calculated_Ratios!C16:C22)</f>
        <v>2.2607255688972764E-2</v>
      </c>
      <c r="C4" s="25">
        <f>AVERAGE(Calculated_Ratios!D16:D22)</f>
        <v>0.1418421435131906</v>
      </c>
      <c r="D4" s="25">
        <f>AVERAGE(Calculated_Ratios!E16:E22)</f>
        <v>3.8967582004195915E-2</v>
      </c>
      <c r="E4" s="25">
        <f>AVERAGE(Calculated_Ratios!F16:F22)</f>
        <v>0.46058128450868946</v>
      </c>
      <c r="F4" s="25">
        <f>AVERAGE(Calculated_Ratios!G16:G22)</f>
        <v>4.7144120799369749E-2</v>
      </c>
      <c r="G4" s="25">
        <f>AVERAGE(Calculated_Ratios!H16:H22)</f>
        <v>0.34889354337195994</v>
      </c>
      <c r="H4" s="21">
        <f>AVERAGE(Calculated_Ratios!I16:I22)</f>
        <v>6.2916675378249662</v>
      </c>
    </row>
    <row r="5" spans="1:8" x14ac:dyDescent="0.25">
      <c r="A5" t="s">
        <v>29</v>
      </c>
      <c r="B5" s="25">
        <f>AVERAGE(Calculated_Ratios!C23:C29)</f>
        <v>2.2896519910426009E-2</v>
      </c>
      <c r="C5" s="25">
        <f>AVERAGE(Calculated_Ratios!D23:D29)</f>
        <v>0.16543205580208947</v>
      </c>
      <c r="D5" s="25">
        <f>AVERAGE(Calculated_Ratios!E23:E29)</f>
        <v>0.11986013837520174</v>
      </c>
      <c r="E5" s="25">
        <f>AVERAGE(Calculated_Ratios!F23:F29)</f>
        <v>0.61723973669414256</v>
      </c>
      <c r="F5" s="25">
        <f>AVERAGE(Calculated_Ratios!G23:G29)</f>
        <v>9.2137982019907024E-3</v>
      </c>
      <c r="G5" s="25">
        <f>AVERAGE(Calculated_Ratios!H23:H29)</f>
        <v>0.46422384607382583</v>
      </c>
      <c r="H5" s="21">
        <f>AVERAGE(Calculated_Ratios!I23:I29)</f>
        <v>7.3818968644853351</v>
      </c>
    </row>
    <row r="6" spans="1:8" x14ac:dyDescent="0.25">
      <c r="A6" t="s">
        <v>30</v>
      </c>
      <c r="B6" s="25">
        <f>AVERAGE(Calculated_Ratios!C30:C36)</f>
        <v>3.1292133803074826E-3</v>
      </c>
      <c r="C6" s="25">
        <f>AVERAGE(Calculated_Ratios!D30:D36)</f>
        <v>2.9200849526893363E-2</v>
      </c>
      <c r="D6" s="25">
        <f>AVERAGE(Calculated_Ratios!E30:E36)</f>
        <v>3.1859081694376061E-2</v>
      </c>
      <c r="E6" s="25">
        <f>AVERAGE(Calculated_Ratios!F30:F36)</f>
        <v>0.48780154275081145</v>
      </c>
      <c r="F6" s="25">
        <f>AVERAGE(Calculated_Ratios!G30:G36)</f>
        <v>0.16429815592363353</v>
      </c>
      <c r="G6" s="25">
        <f>AVERAGE(Calculated_Ratios!H30:H36)</f>
        <v>0.28269704342224178</v>
      </c>
      <c r="H6" s="21">
        <f>AVERAGE(Calculated_Ratios!I30:I36)</f>
        <v>4.5795927889692178</v>
      </c>
    </row>
    <row r="9" spans="1:8" x14ac:dyDescent="0.25">
      <c r="A9" s="1" t="s">
        <v>145</v>
      </c>
      <c r="B9" s="1" t="s">
        <v>146</v>
      </c>
      <c r="C9" s="1" t="s">
        <v>147</v>
      </c>
    </row>
    <row r="10" spans="1:8" x14ac:dyDescent="0.25">
      <c r="A10" t="s">
        <v>149</v>
      </c>
      <c r="B10" t="s">
        <v>12</v>
      </c>
      <c r="C10" t="s">
        <v>30</v>
      </c>
    </row>
    <row r="11" spans="1:8" x14ac:dyDescent="0.25">
      <c r="A11" t="s">
        <v>148</v>
      </c>
      <c r="B11" t="s">
        <v>12</v>
      </c>
      <c r="C11" t="s">
        <v>30</v>
      </c>
    </row>
    <row r="12" spans="1:8" x14ac:dyDescent="0.25">
      <c r="A12" t="s">
        <v>150</v>
      </c>
      <c r="B12" t="s">
        <v>12</v>
      </c>
      <c r="C12" t="s">
        <v>29</v>
      </c>
      <c r="E12" t="s">
        <v>153</v>
      </c>
    </row>
    <row r="13" spans="1:8" x14ac:dyDescent="0.25">
      <c r="A13" t="s">
        <v>152</v>
      </c>
      <c r="B13" t="s">
        <v>29</v>
      </c>
      <c r="C13" t="s">
        <v>30</v>
      </c>
      <c r="E13" t="s">
        <v>153</v>
      </c>
    </row>
    <row r="14" spans="1:8" x14ac:dyDescent="0.25">
      <c r="A14" t="s">
        <v>151</v>
      </c>
      <c r="B14" t="s">
        <v>30</v>
      </c>
      <c r="C14" t="s">
        <v>29</v>
      </c>
      <c r="E14" t="s">
        <v>153</v>
      </c>
    </row>
    <row r="15" spans="1:8" x14ac:dyDescent="0.25">
      <c r="A15" t="s">
        <v>154</v>
      </c>
      <c r="B15" t="s">
        <v>30</v>
      </c>
      <c r="C15" t="s">
        <v>12</v>
      </c>
      <c r="E15" t="s">
        <v>153</v>
      </c>
    </row>
    <row r="18" spans="1:6" x14ac:dyDescent="0.25">
      <c r="A18" t="s">
        <v>155</v>
      </c>
      <c r="B18" t="s">
        <v>156</v>
      </c>
    </row>
    <row r="19" spans="1:6" x14ac:dyDescent="0.25">
      <c r="A19" t="s">
        <v>157</v>
      </c>
      <c r="B19" t="s">
        <v>162</v>
      </c>
    </row>
    <row r="20" spans="1:6" x14ac:dyDescent="0.25">
      <c r="A20" t="s">
        <v>158</v>
      </c>
      <c r="B20" t="s">
        <v>163</v>
      </c>
    </row>
    <row r="21" spans="1:6" x14ac:dyDescent="0.25">
      <c r="A21" t="s">
        <v>159</v>
      </c>
      <c r="B21" t="s">
        <v>164</v>
      </c>
    </row>
    <row r="22" spans="1:6" x14ac:dyDescent="0.25">
      <c r="A22" t="s">
        <v>160</v>
      </c>
      <c r="B22" t="s">
        <v>165</v>
      </c>
    </row>
    <row r="23" spans="1:6" x14ac:dyDescent="0.25">
      <c r="A23" t="s">
        <v>161</v>
      </c>
      <c r="B23" t="s">
        <v>166</v>
      </c>
    </row>
    <row r="32" spans="1:6" x14ac:dyDescent="0.25">
      <c r="A32" t="s">
        <v>206</v>
      </c>
      <c r="B32" t="s">
        <v>208</v>
      </c>
      <c r="C32" t="s">
        <v>209</v>
      </c>
      <c r="D32" t="s">
        <v>210</v>
      </c>
      <c r="E32" t="s">
        <v>212</v>
      </c>
      <c r="F32" t="s">
        <v>213</v>
      </c>
    </row>
    <row r="33" spans="1:6" x14ac:dyDescent="0.25">
      <c r="A33" t="s">
        <v>12</v>
      </c>
      <c r="B33" s="20">
        <f>10 * (B2 - MIN($B$2:$B$6)) / (MAX($B$2:$B$6) - MIN($B$2:$B$6))</f>
        <v>10</v>
      </c>
      <c r="C33" s="20">
        <f>10 * (C2 - MIN($C$2:$C$6)) / (MAX($C$2:$C$6) - MIN($C$2:$C$6))</f>
        <v>10</v>
      </c>
      <c r="D33" s="20">
        <f>10 * (D2 - MIN($D$2:$D$6)) / (MAX($D$2:$D$6) - MIN($D$2:$D$6))</f>
        <v>1.7769964814548476</v>
      </c>
      <c r="E33" s="20">
        <f>10 * (E2 - MAX($E$2:$E$6)) / (MIN($E$2:$E$6) - MAX($E$2:$E$6))</f>
        <v>10</v>
      </c>
      <c r="F33" s="20">
        <f>10 * (F2 - MAX($F$2:$F$6)) / (MIN($F$2:$F$6) - MAX($F$2:$F$6))</f>
        <v>8.7900068443914581</v>
      </c>
    </row>
    <row r="34" spans="1:6" x14ac:dyDescent="0.25">
      <c r="A34" t="s">
        <v>20</v>
      </c>
      <c r="B34" s="20">
        <f t="shared" ref="B34:B37" si="0">10 * (B3 - MIN($B$2:$B$6)) / (MAX($B$2:$B$6) - MIN($B$2:$B$6))</f>
        <v>9.4409386195698772</v>
      </c>
      <c r="C34" s="20">
        <f t="shared" ref="C34:C37" si="1">10 * (C3 - MIN($C$2:$C$6)) / (MAX($C$2:$C$6) - MIN($C$2:$C$6))</f>
        <v>8.1336668419549909</v>
      </c>
      <c r="D34" s="20">
        <f t="shared" ref="D34:D37" si="2">10 * (D3 - MIN($D$2:$D$6)) / (MAX($D$2:$D$6) - MIN($D$2:$D$6))</f>
        <v>1.7028235484894829</v>
      </c>
      <c r="E34" s="20">
        <f t="shared" ref="E34:E37" si="3">10 * (E3 - MAX($E$2:$E$6)) / (MIN($E$2:$E$6) - MAX($E$2:$E$6))</f>
        <v>9.8569017062492374</v>
      </c>
      <c r="F34" s="20">
        <f t="shared" ref="F34:F37" si="4">10 * (F3 - MAX($F$2:$F$6)) / (MIN($F$2:$F$6) - MAX($F$2:$F$6))</f>
        <v>8.8162811471820071</v>
      </c>
    </row>
    <row r="35" spans="1:6" x14ac:dyDescent="0.25">
      <c r="A35" t="s">
        <v>207</v>
      </c>
      <c r="B35" s="20">
        <f t="shared" si="0"/>
        <v>6.2489811610363972</v>
      </c>
      <c r="C35" s="20">
        <f t="shared" si="1"/>
        <v>4.6118395240410468</v>
      </c>
      <c r="D35" s="20">
        <f t="shared" si="2"/>
        <v>0.80777442657330134</v>
      </c>
      <c r="E35" s="20">
        <f t="shared" si="3"/>
        <v>5.5167030169865976</v>
      </c>
      <c r="F35" s="20">
        <f t="shared" si="4"/>
        <v>7.5542135161394377</v>
      </c>
    </row>
    <row r="36" spans="1:6" x14ac:dyDescent="0.25">
      <c r="A36" t="s">
        <v>211</v>
      </c>
      <c r="B36" s="20">
        <f t="shared" si="0"/>
        <v>6.3417834376604203</v>
      </c>
      <c r="C36" s="20">
        <f t="shared" si="1"/>
        <v>5.5776743969593214</v>
      </c>
      <c r="D36" s="20">
        <f t="shared" si="2"/>
        <v>10</v>
      </c>
      <c r="E36" s="20">
        <f t="shared" si="3"/>
        <v>0</v>
      </c>
      <c r="F36" s="20">
        <f t="shared" si="4"/>
        <v>10</v>
      </c>
    </row>
    <row r="37" spans="1:6" x14ac:dyDescent="0.25">
      <c r="A37" t="s">
        <v>30</v>
      </c>
      <c r="B37" s="20">
        <f t="shared" si="0"/>
        <v>0</v>
      </c>
      <c r="C37" s="20">
        <f t="shared" si="1"/>
        <v>0</v>
      </c>
      <c r="D37" s="20">
        <f t="shared" si="2"/>
        <v>0</v>
      </c>
      <c r="E37" s="20">
        <f t="shared" si="3"/>
        <v>4.5581458585786923</v>
      </c>
      <c r="F37" s="20">
        <f t="shared" si="4"/>
        <v>0</v>
      </c>
    </row>
  </sheetData>
  <pageMargins left="0.7" right="0.7" top="0.75" bottom="0.75" header="0.3" footer="0.3"/>
  <pageSetup paperSize="9" orientation="portrait" r:id="rId1"/>
  <drawing r:id="rId2"/>
  <tableParts count="3">
    <tablePart r:id="rId3"/>
    <tablePart r:id="rId4"/>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0F5D-9123-4443-8C6C-309B16338AA2}">
  <dimension ref="A1"/>
  <sheetViews>
    <sheetView tabSelected="1" zoomScale="68" zoomScaleNormal="85" workbookViewId="0">
      <selection activeCell="F29" sqref="F29"/>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99878-67D1-4961-BE0E-FE569065FE18}">
  <dimension ref="A3:G24"/>
  <sheetViews>
    <sheetView topLeftCell="E1" zoomScale="71" workbookViewId="0">
      <selection activeCell="P3" sqref="P3"/>
    </sheetView>
  </sheetViews>
  <sheetFormatPr defaultRowHeight="15" x14ac:dyDescent="0.25"/>
  <cols>
    <col min="1" max="1" width="19.42578125" bestFit="1" customWidth="1"/>
    <col min="2" max="2" width="21.42578125" bestFit="1" customWidth="1"/>
    <col min="3" max="3" width="10.140625" bestFit="1" customWidth="1"/>
    <col min="4" max="4" width="9.85546875" bestFit="1" customWidth="1"/>
    <col min="5" max="5" width="10.140625" bestFit="1" customWidth="1"/>
    <col min="6" max="6" width="9.5703125" bestFit="1" customWidth="1"/>
    <col min="7" max="7" width="14.85546875" bestFit="1" customWidth="1"/>
  </cols>
  <sheetData>
    <row r="3" spans="1:7" x14ac:dyDescent="0.25">
      <c r="A3" s="16" t="s">
        <v>85</v>
      </c>
      <c r="B3" s="16" t="s">
        <v>77</v>
      </c>
    </row>
    <row r="4" spans="1:7" x14ac:dyDescent="0.25">
      <c r="A4" s="16" t="s">
        <v>75</v>
      </c>
      <c r="B4" t="s">
        <v>28</v>
      </c>
      <c r="C4" t="s">
        <v>12</v>
      </c>
      <c r="D4" t="s">
        <v>29</v>
      </c>
      <c r="E4" t="s">
        <v>20</v>
      </c>
      <c r="F4" t="s">
        <v>30</v>
      </c>
      <c r="G4" t="s">
        <v>76</v>
      </c>
    </row>
    <row r="5" spans="1:7" x14ac:dyDescent="0.25">
      <c r="A5" s="17">
        <v>2018</v>
      </c>
      <c r="B5" s="25">
        <v>0.16107985529938987</v>
      </c>
      <c r="C5" s="25">
        <v>0.21383981746353115</v>
      </c>
      <c r="D5" s="25">
        <v>0.16156225119725381</v>
      </c>
      <c r="E5" s="25">
        <v>0.21883180783203737</v>
      </c>
      <c r="F5" s="25">
        <v>0.11162033595033022</v>
      </c>
      <c r="G5" s="25">
        <v>0.17338681354850846</v>
      </c>
    </row>
    <row r="6" spans="1:7" x14ac:dyDescent="0.25">
      <c r="A6" s="17">
        <v>2019</v>
      </c>
      <c r="B6" s="25">
        <v>0.14001860562820254</v>
      </c>
      <c r="C6" s="25">
        <v>0.26934336372647488</v>
      </c>
      <c r="D6" s="25">
        <v>0.20937394786738256</v>
      </c>
      <c r="E6" s="25">
        <v>0.23503343514662645</v>
      </c>
      <c r="F6" s="25">
        <v>0.11047436590015909</v>
      </c>
      <c r="G6" s="25">
        <v>0.19284874365376908</v>
      </c>
    </row>
    <row r="7" spans="1:7" x14ac:dyDescent="0.25">
      <c r="A7" s="17">
        <v>2020</v>
      </c>
      <c r="B7" s="25">
        <v>8.1754786271703614E-2</v>
      </c>
      <c r="C7" s="25">
        <v>0.13426120918668058</v>
      </c>
      <c r="D7" s="25">
        <v>6.8650695801167144E-2</v>
      </c>
      <c r="E7" s="25">
        <v>0.12579892537892423</v>
      </c>
      <c r="F7" s="25">
        <v>9.0157710181807141E-2</v>
      </c>
      <c r="G7" s="25">
        <v>0.10012466536405655</v>
      </c>
    </row>
    <row r="8" spans="1:7" x14ac:dyDescent="0.25">
      <c r="A8" s="17">
        <v>2021</v>
      </c>
      <c r="B8" s="25">
        <v>0.11685988838322266</v>
      </c>
      <c r="C8" s="25">
        <v>0.26854694889794661</v>
      </c>
      <c r="D8" s="25">
        <v>0.18925167998886452</v>
      </c>
      <c r="E8" s="25">
        <v>0.26259007653146654</v>
      </c>
      <c r="F8" s="25">
        <v>9.515332434841875E-2</v>
      </c>
      <c r="G8" s="25">
        <v>0.18648038362998381</v>
      </c>
    </row>
    <row r="9" spans="1:7" x14ac:dyDescent="0.25">
      <c r="A9" s="17">
        <v>2022</v>
      </c>
      <c r="B9" s="25">
        <v>0.18378441428551928</v>
      </c>
      <c r="C9" s="25">
        <v>0.33980938209235756</v>
      </c>
      <c r="D9" s="25">
        <v>0.1849828052854568</v>
      </c>
      <c r="E9" s="25">
        <v>0.26046171665293805</v>
      </c>
      <c r="F9" s="25">
        <v>-0.23004593375463364</v>
      </c>
      <c r="G9" s="25">
        <v>0.14779847691232761</v>
      </c>
    </row>
    <row r="10" spans="1:7" x14ac:dyDescent="0.25">
      <c r="A10" s="17">
        <v>2023</v>
      </c>
      <c r="B10" s="25">
        <v>0.1577738263923589</v>
      </c>
      <c r="C10" s="25">
        <v>0.32374107006101643</v>
      </c>
      <c r="D10" s="25">
        <v>0.14375715320726187</v>
      </c>
      <c r="E10" s="25">
        <v>0.24830679188165411</v>
      </c>
      <c r="F10" s="25">
        <v>1.2455510473527369E-3</v>
      </c>
      <c r="G10" s="25">
        <v>0.1749648785179288</v>
      </c>
    </row>
    <row r="11" spans="1:7" x14ac:dyDescent="0.25">
      <c r="A11" s="17">
        <v>2024</v>
      </c>
      <c r="B11" s="25">
        <v>0.15162362833193715</v>
      </c>
      <c r="C11" s="25">
        <v>0.36457034471841843</v>
      </c>
      <c r="D11" s="25">
        <v>0.20044585726723971</v>
      </c>
      <c r="E11" s="25">
        <v>0.24400124753272176</v>
      </c>
      <c r="F11" s="25">
        <v>2.5800593014819236E-2</v>
      </c>
      <c r="G11" s="25">
        <v>0.19728833417302724</v>
      </c>
    </row>
    <row r="12" spans="1:7" x14ac:dyDescent="0.25">
      <c r="A12" s="17" t="s">
        <v>76</v>
      </c>
      <c r="B12" s="25">
        <v>0.1418421435131906</v>
      </c>
      <c r="C12" s="25">
        <v>0.27344459087806078</v>
      </c>
      <c r="D12" s="25">
        <v>0.16543205580208947</v>
      </c>
      <c r="E12" s="25">
        <v>0.22786057156519551</v>
      </c>
      <c r="F12" s="25">
        <v>2.9200849526893363E-2</v>
      </c>
      <c r="G12" s="25">
        <v>0.16755604225708595</v>
      </c>
    </row>
    <row r="17" spans="1:7" x14ac:dyDescent="0.25">
      <c r="A17" s="18" t="s">
        <v>75</v>
      </c>
      <c r="B17" s="18" t="s">
        <v>28</v>
      </c>
      <c r="C17" s="18" t="s">
        <v>12</v>
      </c>
      <c r="D17" s="18" t="s">
        <v>29</v>
      </c>
      <c r="E17" s="18" t="s">
        <v>20</v>
      </c>
      <c r="F17" s="18" t="s">
        <v>30</v>
      </c>
      <c r="G17" s="19" t="s">
        <v>78</v>
      </c>
    </row>
    <row r="18" spans="1:7" x14ac:dyDescent="0.25">
      <c r="A18" s="17">
        <v>2018</v>
      </c>
      <c r="B18" s="15">
        <v>0.16107985529938987</v>
      </c>
      <c r="C18" s="15">
        <v>0.21383981746353115</v>
      </c>
      <c r="D18" s="15">
        <v>0.16156225119725381</v>
      </c>
      <c r="E18" s="15">
        <v>0.21883180783203737</v>
      </c>
      <c r="F18" s="15">
        <v>0.11162033595033022</v>
      </c>
      <c r="G18" s="15">
        <v>0.1734</v>
      </c>
    </row>
    <row r="19" spans="1:7" x14ac:dyDescent="0.25">
      <c r="A19" s="17">
        <v>2019</v>
      </c>
      <c r="B19" s="15">
        <v>0.14001860562820254</v>
      </c>
      <c r="C19" s="15">
        <v>0.26934336372647488</v>
      </c>
      <c r="D19" s="15">
        <v>0.20937394786738256</v>
      </c>
      <c r="E19" s="15">
        <v>0.23503343514662645</v>
      </c>
      <c r="F19" s="15">
        <v>0.11047436590015909</v>
      </c>
      <c r="G19" s="15">
        <v>0.1928</v>
      </c>
    </row>
    <row r="20" spans="1:7" x14ac:dyDescent="0.25">
      <c r="A20" s="17">
        <v>2020</v>
      </c>
      <c r="B20" s="15">
        <v>8.1754786271703614E-2</v>
      </c>
      <c r="C20" s="15">
        <v>0.13426120918668058</v>
      </c>
      <c r="D20" s="15">
        <v>6.8650695801167144E-2</v>
      </c>
      <c r="E20" s="15">
        <v>0.12579892537892423</v>
      </c>
      <c r="F20" s="15">
        <v>9.0157710181807141E-2</v>
      </c>
      <c r="G20" s="15">
        <v>0.10009999999999999</v>
      </c>
    </row>
    <row r="21" spans="1:7" x14ac:dyDescent="0.25">
      <c r="A21" s="17">
        <v>2021</v>
      </c>
      <c r="B21" s="15">
        <v>0.11685988838322266</v>
      </c>
      <c r="C21" s="15">
        <v>0.26854694889794661</v>
      </c>
      <c r="D21" s="15">
        <v>0.18925167998886452</v>
      </c>
      <c r="E21" s="15">
        <v>0.26259007653146654</v>
      </c>
      <c r="F21" s="15">
        <v>9.515332434841875E-2</v>
      </c>
      <c r="G21" s="15">
        <v>0.1865</v>
      </c>
    </row>
    <row r="22" spans="1:7" x14ac:dyDescent="0.25">
      <c r="A22" s="17">
        <v>2022</v>
      </c>
      <c r="B22" s="15">
        <v>0.18378441428551928</v>
      </c>
      <c r="C22" s="15">
        <v>0.33980938209235756</v>
      </c>
      <c r="D22" s="15">
        <v>0.1849828052854568</v>
      </c>
      <c r="E22" s="15">
        <v>0.26046171665293805</v>
      </c>
      <c r="F22" s="15">
        <v>-0.23004593375463364</v>
      </c>
      <c r="G22" s="15">
        <v>0.14779999999999999</v>
      </c>
    </row>
    <row r="23" spans="1:7" x14ac:dyDescent="0.25">
      <c r="A23" s="17">
        <v>2023</v>
      </c>
      <c r="B23" s="15">
        <v>0.1577738263923589</v>
      </c>
      <c r="C23" s="15">
        <v>0.32374107006101643</v>
      </c>
      <c r="D23" s="15">
        <v>0.14375715320726187</v>
      </c>
      <c r="E23" s="15">
        <v>0.24830679188165411</v>
      </c>
      <c r="F23" s="15">
        <v>1.2455510473527369E-3</v>
      </c>
      <c r="G23" s="15">
        <v>0.17499999999999999</v>
      </c>
    </row>
    <row r="24" spans="1:7" x14ac:dyDescent="0.25">
      <c r="A24" s="17">
        <v>2024</v>
      </c>
      <c r="B24" s="15">
        <v>0.15162362833193715</v>
      </c>
      <c r="C24" s="15">
        <v>0.36457034471841843</v>
      </c>
      <c r="D24" s="15">
        <v>0.20044585726723971</v>
      </c>
      <c r="E24" s="15">
        <v>0.24400124753272176</v>
      </c>
      <c r="F24" s="15">
        <v>2.5800593014819236E-2</v>
      </c>
      <c r="G24" s="15">
        <v>0.1973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5688C-DEE6-4A85-8EAC-4E17E1D8395C}">
  <dimension ref="A3:G24"/>
  <sheetViews>
    <sheetView zoomScale="57" workbookViewId="0">
      <selection activeCell="A17" sqref="A17:G24"/>
    </sheetView>
  </sheetViews>
  <sheetFormatPr defaultRowHeight="15" x14ac:dyDescent="0.25"/>
  <cols>
    <col min="1" max="1" width="29.7109375" bestFit="1" customWidth="1"/>
    <col min="2" max="2" width="22.7109375" bestFit="1" customWidth="1"/>
    <col min="3" max="3" width="9.28515625" bestFit="1" customWidth="1"/>
    <col min="4" max="4" width="10" bestFit="1" customWidth="1"/>
    <col min="5" max="5" width="9.28515625" bestFit="1" customWidth="1"/>
    <col min="6" max="6" width="8.85546875" bestFit="1" customWidth="1"/>
    <col min="7" max="7" width="15.7109375" bestFit="1" customWidth="1"/>
  </cols>
  <sheetData>
    <row r="3" spans="1:7" x14ac:dyDescent="0.25">
      <c r="A3" s="16" t="s">
        <v>86</v>
      </c>
      <c r="B3" s="16" t="s">
        <v>77</v>
      </c>
    </row>
    <row r="4" spans="1:7" x14ac:dyDescent="0.25">
      <c r="A4" s="16" t="s">
        <v>75</v>
      </c>
      <c r="B4" t="s">
        <v>28</v>
      </c>
      <c r="C4" t="s">
        <v>12</v>
      </c>
      <c r="D4" t="s">
        <v>29</v>
      </c>
      <c r="E4" t="s">
        <v>20</v>
      </c>
      <c r="F4" t="s">
        <v>30</v>
      </c>
      <c r="G4" t="s">
        <v>76</v>
      </c>
    </row>
    <row r="5" spans="1:7" x14ac:dyDescent="0.25">
      <c r="A5" s="17">
        <v>2018</v>
      </c>
      <c r="B5" s="25">
        <v>4.1777183605390893E-2</v>
      </c>
      <c r="C5" s="25">
        <v>5.3900370917610227E-2</v>
      </c>
      <c r="D5" s="25">
        <v>0.14543076154573192</v>
      </c>
      <c r="E5" s="25">
        <v>5.428359745018032E-2</v>
      </c>
      <c r="F5" s="25">
        <v>4.1698572813035892E-2</v>
      </c>
      <c r="G5" s="25">
        <v>6.7418097266389851E-2</v>
      </c>
    </row>
    <row r="6" spans="1:7" x14ac:dyDescent="0.25">
      <c r="A6" s="17">
        <v>2019</v>
      </c>
      <c r="B6" s="25">
        <v>3.7897766507624886E-2</v>
      </c>
      <c r="C6" s="25">
        <v>4.7710751820344198E-2</v>
      </c>
      <c r="D6" s="25">
        <v>0.13488727400936282</v>
      </c>
      <c r="E6" s="25">
        <v>4.6993578638265622E-2</v>
      </c>
      <c r="F6" s="25">
        <v>3.8587737321920598E-2</v>
      </c>
      <c r="G6" s="25">
        <v>6.1215421659503631E-2</v>
      </c>
    </row>
    <row r="7" spans="1:7" x14ac:dyDescent="0.25">
      <c r="A7" s="17">
        <v>2020</v>
      </c>
      <c r="B7" s="25">
        <v>2.8858912631146129E-2</v>
      </c>
      <c r="C7" s="25">
        <v>3.8162475669112045E-2</v>
      </c>
      <c r="D7" s="25">
        <v>0.10641391265447632</v>
      </c>
      <c r="E7" s="25">
        <v>4.0667593976059305E-2</v>
      </c>
      <c r="F7" s="25">
        <v>3.669569717298559E-2</v>
      </c>
      <c r="G7" s="25">
        <v>5.0159718420755874E-2</v>
      </c>
    </row>
    <row r="8" spans="1:7" x14ac:dyDescent="0.25">
      <c r="A8" s="17">
        <v>2021</v>
      </c>
      <c r="B8" s="25">
        <v>3.3972572042530992E-2</v>
      </c>
      <c r="C8" s="25">
        <v>4.1882621576309807E-2</v>
      </c>
      <c r="D8" s="25">
        <v>0.12245189762376774</v>
      </c>
      <c r="E8" s="25">
        <v>4.2886508286211128E-2</v>
      </c>
      <c r="F8" s="25">
        <v>4.0806805645070658E-2</v>
      </c>
      <c r="G8" s="25">
        <v>5.640008103477806E-2</v>
      </c>
    </row>
    <row r="9" spans="1:7" x14ac:dyDescent="0.25">
      <c r="A9" s="17">
        <v>2022</v>
      </c>
      <c r="B9" s="25">
        <v>4.915640060351268E-2</v>
      </c>
      <c r="C9" s="25">
        <v>4.5590934840234305E-2</v>
      </c>
      <c r="D9" s="25">
        <v>0.11160771468480243</v>
      </c>
      <c r="E9" s="25">
        <v>4.7474893410205464E-2</v>
      </c>
      <c r="F9" s="25">
        <v>2.3925149366415276E-2</v>
      </c>
      <c r="G9" s="25">
        <v>5.5551018581034027E-2</v>
      </c>
    </row>
    <row r="10" spans="1:7" x14ac:dyDescent="0.25">
      <c r="A10" s="17">
        <v>2023</v>
      </c>
      <c r="B10" s="25">
        <v>4.020391833260889E-2</v>
      </c>
      <c r="C10" s="25">
        <v>5.3077945196787317E-2</v>
      </c>
      <c r="D10" s="25">
        <v>0.10901716517495295</v>
      </c>
      <c r="E10" s="25">
        <v>4.9770128678223176E-2</v>
      </c>
      <c r="F10" s="25">
        <v>2.4588706612313729E-2</v>
      </c>
      <c r="G10" s="25">
        <v>5.5331572798977213E-2</v>
      </c>
    </row>
    <row r="11" spans="1:7" x14ac:dyDescent="0.25">
      <c r="A11" s="17">
        <v>2024</v>
      </c>
      <c r="B11" s="25">
        <v>4.0906320306556949E-2</v>
      </c>
      <c r="C11" s="25">
        <v>5.2152769500529612E-2</v>
      </c>
      <c r="D11" s="25">
        <v>0.10921224293331802</v>
      </c>
      <c r="E11" s="25">
        <v>4.5832461547134808E-2</v>
      </c>
      <c r="F11" s="25">
        <v>1.6710902928890669E-2</v>
      </c>
      <c r="G11" s="25">
        <v>5.296293944328602E-2</v>
      </c>
    </row>
    <row r="12" spans="1:7" x14ac:dyDescent="0.25">
      <c r="A12" s="17" t="s">
        <v>76</v>
      </c>
      <c r="B12" s="25">
        <v>3.8967582004195915E-2</v>
      </c>
      <c r="C12" s="25">
        <v>4.7496838502989643E-2</v>
      </c>
      <c r="D12" s="25">
        <v>0.11986013837520174</v>
      </c>
      <c r="E12" s="25">
        <v>4.684410885518283E-2</v>
      </c>
      <c r="F12" s="25">
        <v>3.1859081694376061E-2</v>
      </c>
      <c r="G12" s="25">
        <v>5.7005549886389242E-2</v>
      </c>
    </row>
    <row r="17" spans="1:7" x14ac:dyDescent="0.25">
      <c r="A17" s="18" t="s">
        <v>75</v>
      </c>
      <c r="B17" s="26" t="s">
        <v>28</v>
      </c>
      <c r="C17" s="26" t="s">
        <v>12</v>
      </c>
      <c r="D17" s="26" t="s">
        <v>29</v>
      </c>
      <c r="E17" s="26" t="s">
        <v>20</v>
      </c>
      <c r="F17" s="26" t="s">
        <v>30</v>
      </c>
      <c r="G17" s="19" t="s">
        <v>78</v>
      </c>
    </row>
    <row r="18" spans="1:7" x14ac:dyDescent="0.25">
      <c r="A18" s="17">
        <v>2018</v>
      </c>
      <c r="B18" s="15">
        <v>4.1777183605390893E-2</v>
      </c>
      <c r="C18" s="15">
        <v>5.3900370917610227E-2</v>
      </c>
      <c r="D18" s="15">
        <v>0.14543076154573192</v>
      </c>
      <c r="E18" s="15">
        <v>5.428359745018032E-2</v>
      </c>
      <c r="F18" s="15">
        <v>4.1698572813035892E-2</v>
      </c>
      <c r="G18" s="15">
        <v>6.7400000000000002E-2</v>
      </c>
    </row>
    <row r="19" spans="1:7" x14ac:dyDescent="0.25">
      <c r="A19" s="17">
        <v>2019</v>
      </c>
      <c r="B19" s="15">
        <v>3.7897766507624886E-2</v>
      </c>
      <c r="C19" s="15">
        <v>4.7710751820344198E-2</v>
      </c>
      <c r="D19" s="15">
        <v>0.13488727400936282</v>
      </c>
      <c r="E19" s="15">
        <v>4.6993578638265622E-2</v>
      </c>
      <c r="F19" s="15">
        <v>3.8587737321920598E-2</v>
      </c>
      <c r="G19" s="15">
        <v>6.1199999999999997E-2</v>
      </c>
    </row>
    <row r="20" spans="1:7" x14ac:dyDescent="0.25">
      <c r="A20" s="17">
        <v>2020</v>
      </c>
      <c r="B20" s="15">
        <v>2.8858912631146129E-2</v>
      </c>
      <c r="C20" s="15">
        <v>3.8162475669112045E-2</v>
      </c>
      <c r="D20" s="15">
        <v>0.10641391265447632</v>
      </c>
      <c r="E20" s="15">
        <v>4.0667593976059305E-2</v>
      </c>
      <c r="F20" s="15">
        <v>3.669569717298559E-2</v>
      </c>
      <c r="G20" s="15">
        <v>5.0200000000000002E-2</v>
      </c>
    </row>
    <row r="21" spans="1:7" x14ac:dyDescent="0.25">
      <c r="A21" s="17">
        <v>2021</v>
      </c>
      <c r="B21" s="15">
        <v>3.3972572042530992E-2</v>
      </c>
      <c r="C21" s="15">
        <v>4.1882621576309807E-2</v>
      </c>
      <c r="D21" s="15">
        <v>0.12245189762376774</v>
      </c>
      <c r="E21" s="15">
        <v>4.2886508286211128E-2</v>
      </c>
      <c r="F21" s="15">
        <v>4.0806805645070658E-2</v>
      </c>
      <c r="G21" s="15">
        <v>5.6399999999999999E-2</v>
      </c>
    </row>
    <row r="22" spans="1:7" x14ac:dyDescent="0.25">
      <c r="A22" s="17">
        <v>2022</v>
      </c>
      <c r="B22" s="15">
        <v>4.915640060351268E-2</v>
      </c>
      <c r="C22" s="15">
        <v>4.5590934840234305E-2</v>
      </c>
      <c r="D22" s="15">
        <v>0.11160771468480243</v>
      </c>
      <c r="E22" s="15">
        <v>4.7474893410205464E-2</v>
      </c>
      <c r="F22" s="15">
        <v>2.3925149366415276E-2</v>
      </c>
      <c r="G22" s="15">
        <v>5.5599999999999997E-2</v>
      </c>
    </row>
    <row r="23" spans="1:7" x14ac:dyDescent="0.25">
      <c r="A23" s="17">
        <v>2023</v>
      </c>
      <c r="B23" s="15">
        <v>4.020391833260889E-2</v>
      </c>
      <c r="C23" s="15">
        <v>5.3077945196787317E-2</v>
      </c>
      <c r="D23" s="15">
        <v>0.10901716517495295</v>
      </c>
      <c r="E23" s="15">
        <v>4.9770128678223176E-2</v>
      </c>
      <c r="F23" s="15">
        <v>2.4588706612313729E-2</v>
      </c>
      <c r="G23" s="15">
        <v>5.5300000000000002E-2</v>
      </c>
    </row>
    <row r="24" spans="1:7" x14ac:dyDescent="0.25">
      <c r="A24" s="17">
        <v>2024</v>
      </c>
      <c r="B24" s="15">
        <v>4.0906320306556949E-2</v>
      </c>
      <c r="C24" s="15">
        <v>5.2152769500529612E-2</v>
      </c>
      <c r="D24" s="15">
        <v>0.10921224293331802</v>
      </c>
      <c r="E24" s="15">
        <v>4.5832461547134808E-2</v>
      </c>
      <c r="F24" s="15">
        <v>1.6710902928890669E-2</v>
      </c>
      <c r="G24" s="15">
        <v>5.2999999999999999E-2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F3C39-8687-4D15-935C-F947BAEA1827}">
  <dimension ref="A3:I23"/>
  <sheetViews>
    <sheetView topLeftCell="E1" zoomScale="64" workbookViewId="0">
      <selection activeCell="A16" sqref="A16:G23"/>
    </sheetView>
  </sheetViews>
  <sheetFormatPr defaultRowHeight="15" x14ac:dyDescent="0.25"/>
  <cols>
    <col min="1" max="1" width="19.5703125" bestFit="1" customWidth="1"/>
    <col min="2" max="2" width="22.42578125" bestFit="1" customWidth="1"/>
    <col min="3" max="3" width="9.7109375" bestFit="1" customWidth="1"/>
    <col min="4" max="4" width="9.28515625" bestFit="1" customWidth="1"/>
    <col min="5" max="6" width="9.7109375" bestFit="1" customWidth="1"/>
    <col min="7" max="7" width="15.5703125" bestFit="1" customWidth="1"/>
  </cols>
  <sheetData>
    <row r="3" spans="1:7" x14ac:dyDescent="0.25">
      <c r="A3" s="16" t="s">
        <v>87</v>
      </c>
      <c r="B3" s="16" t="s">
        <v>77</v>
      </c>
    </row>
    <row r="4" spans="1:7" x14ac:dyDescent="0.25">
      <c r="A4" s="16" t="s">
        <v>75</v>
      </c>
      <c r="B4" t="s">
        <v>28</v>
      </c>
      <c r="C4" t="s">
        <v>12</v>
      </c>
      <c r="D4" t="s">
        <v>29</v>
      </c>
      <c r="E4" t="s">
        <v>20</v>
      </c>
      <c r="F4" t="s">
        <v>30</v>
      </c>
      <c r="G4" t="s">
        <v>76</v>
      </c>
    </row>
    <row r="5" spans="1:7" x14ac:dyDescent="0.25">
      <c r="A5" s="17">
        <v>2018</v>
      </c>
      <c r="B5" s="25">
        <v>0.3726849516452157</v>
      </c>
      <c r="C5" s="25">
        <v>0.35951998257562162</v>
      </c>
      <c r="D5" s="25">
        <v>0.67948706966704076</v>
      </c>
      <c r="E5" s="25">
        <v>0.3713873794776984</v>
      </c>
      <c r="F5" s="25">
        <v>0.61266357619872447</v>
      </c>
      <c r="G5" s="25">
        <v>0.47914859191286024</v>
      </c>
    </row>
    <row r="6" spans="1:7" x14ac:dyDescent="0.25">
      <c r="A6" s="17">
        <v>2019</v>
      </c>
      <c r="B6" s="25">
        <v>0.4384054054054054</v>
      </c>
      <c r="C6" s="25">
        <v>0.3717450448761534</v>
      </c>
      <c r="D6" s="25">
        <v>0.63086820405911725</v>
      </c>
      <c r="E6" s="25">
        <v>0.37721121354436332</v>
      </c>
      <c r="F6" s="25">
        <v>0.65468674113647407</v>
      </c>
      <c r="G6" s="25">
        <v>0.49458332180430264</v>
      </c>
    </row>
    <row r="7" spans="1:7" x14ac:dyDescent="0.25">
      <c r="A7" s="17">
        <v>2020</v>
      </c>
      <c r="B7" s="25">
        <v>0.46910665684254843</v>
      </c>
      <c r="C7" s="25">
        <v>0.37568994583943133</v>
      </c>
      <c r="D7" s="25">
        <v>0.66233793479629088</v>
      </c>
      <c r="E7" s="25">
        <v>0.35092097935273614</v>
      </c>
      <c r="F7" s="25">
        <v>0.8240418118466899</v>
      </c>
      <c r="G7" s="25">
        <v>0.53641946573553922</v>
      </c>
    </row>
    <row r="8" spans="1:7" x14ac:dyDescent="0.25">
      <c r="A8" s="17">
        <v>2021</v>
      </c>
      <c r="B8" s="25">
        <v>0.49914505038745588</v>
      </c>
      <c r="C8" s="25">
        <v>0.35354851666997567</v>
      </c>
      <c r="D8" s="25">
        <v>0.587751247807905</v>
      </c>
      <c r="E8" s="25">
        <v>0.32548136214972662</v>
      </c>
      <c r="F8" s="25">
        <v>0.58261710820686019</v>
      </c>
      <c r="G8" s="25">
        <v>0.46970865704438464</v>
      </c>
    </row>
    <row r="9" spans="1:7" x14ac:dyDescent="0.25">
      <c r="A9" s="17">
        <v>2022</v>
      </c>
      <c r="B9" s="25">
        <v>0.47664688074243483</v>
      </c>
      <c r="C9" s="25">
        <v>0.30117530589071662</v>
      </c>
      <c r="D9" s="25">
        <v>0.58438311453400971</v>
      </c>
      <c r="E9" s="25">
        <v>0.28821679530659083</v>
      </c>
      <c r="F9" s="25">
        <v>-0.61455105303673296</v>
      </c>
      <c r="G9" s="25">
        <v>0.20717420868740383</v>
      </c>
    </row>
    <row r="10" spans="1:7" x14ac:dyDescent="0.25">
      <c r="A10" s="17">
        <v>2023</v>
      </c>
      <c r="B10" s="25">
        <v>0.47628706766397361</v>
      </c>
      <c r="C10" s="25">
        <v>0.28141707655839338</v>
      </c>
      <c r="D10" s="25">
        <v>0.61014925373134332</v>
      </c>
      <c r="E10" s="25">
        <v>0.31975899952722936</v>
      </c>
      <c r="F10" s="25">
        <v>0.88861966546818816</v>
      </c>
      <c r="G10" s="25">
        <v>0.51524641258982551</v>
      </c>
    </row>
    <row r="11" spans="1:7" x14ac:dyDescent="0.25">
      <c r="A11" s="17">
        <v>2024</v>
      </c>
      <c r="B11" s="25">
        <v>0.49179297887379253</v>
      </c>
      <c r="C11" s="25">
        <v>0.2897842066446647</v>
      </c>
      <c r="D11" s="25">
        <v>0.56570133226329045</v>
      </c>
      <c r="E11" s="25">
        <v>0.32834840102209223</v>
      </c>
      <c r="F11" s="25">
        <v>0.46653294943547602</v>
      </c>
      <c r="G11" s="25">
        <v>0.42843197364786317</v>
      </c>
    </row>
    <row r="12" spans="1:7" x14ac:dyDescent="0.25">
      <c r="A12" s="17" t="s">
        <v>76</v>
      </c>
      <c r="B12" s="25">
        <v>0.46058128450868946</v>
      </c>
      <c r="C12" s="25">
        <v>0.33326858272213661</v>
      </c>
      <c r="D12" s="25">
        <v>0.61723973669414256</v>
      </c>
      <c r="E12" s="25">
        <v>0.3373321614829195</v>
      </c>
      <c r="F12" s="25">
        <v>0.48780154275081145</v>
      </c>
      <c r="G12" s="25">
        <v>0.44724466163173993</v>
      </c>
    </row>
    <row r="16" spans="1:7" x14ac:dyDescent="0.25">
      <c r="A16" s="18" t="s">
        <v>75</v>
      </c>
      <c r="B16" s="18" t="s">
        <v>28</v>
      </c>
      <c r="C16" s="18" t="s">
        <v>12</v>
      </c>
      <c r="D16" s="18" t="s">
        <v>29</v>
      </c>
      <c r="E16" s="18" t="s">
        <v>20</v>
      </c>
      <c r="F16" s="18" t="s">
        <v>30</v>
      </c>
      <c r="G16" s="19" t="s">
        <v>78</v>
      </c>
    </row>
    <row r="17" spans="1:9" x14ac:dyDescent="0.25">
      <c r="A17" s="17">
        <v>2018</v>
      </c>
      <c r="B17" s="15">
        <v>0.3726849516452157</v>
      </c>
      <c r="C17" s="15">
        <v>0.35951998257562162</v>
      </c>
      <c r="D17" s="15">
        <v>0.67948706966704076</v>
      </c>
      <c r="E17" s="15">
        <v>0.3713873794776984</v>
      </c>
      <c r="F17" s="15">
        <v>0.61266357619872447</v>
      </c>
      <c r="G17" s="15">
        <v>0.47910000000000003</v>
      </c>
      <c r="I17" s="21"/>
    </row>
    <row r="18" spans="1:9" x14ac:dyDescent="0.25">
      <c r="A18" s="17">
        <v>2019</v>
      </c>
      <c r="B18" s="15">
        <v>0.4384054054054054</v>
      </c>
      <c r="C18" s="15">
        <v>0.3717450448761534</v>
      </c>
      <c r="D18" s="15">
        <v>0.63086820405911725</v>
      </c>
      <c r="E18" s="15">
        <v>0.37721121354436332</v>
      </c>
      <c r="F18" s="15">
        <v>0.65468674113647407</v>
      </c>
      <c r="G18" s="15">
        <v>0.49459999999999998</v>
      </c>
      <c r="I18" s="21"/>
    </row>
    <row r="19" spans="1:9" x14ac:dyDescent="0.25">
      <c r="A19" s="17">
        <v>2020</v>
      </c>
      <c r="B19" s="15">
        <v>0.46910665684254843</v>
      </c>
      <c r="C19" s="15">
        <v>0.37568994583943133</v>
      </c>
      <c r="D19" s="15">
        <v>0.66233793479629088</v>
      </c>
      <c r="E19" s="15">
        <v>0.35092097935273614</v>
      </c>
      <c r="F19" s="15">
        <v>0.8240418118466899</v>
      </c>
      <c r="G19" s="15">
        <v>0.53639999999999999</v>
      </c>
      <c r="I19" s="21"/>
    </row>
    <row r="20" spans="1:9" x14ac:dyDescent="0.25">
      <c r="A20" s="17">
        <v>2021</v>
      </c>
      <c r="B20" s="15">
        <v>0.49914505038745588</v>
      </c>
      <c r="C20" s="15">
        <v>0.35354851666997567</v>
      </c>
      <c r="D20" s="15">
        <v>0.587751247807905</v>
      </c>
      <c r="E20" s="15">
        <v>0.32548136214972662</v>
      </c>
      <c r="F20" s="15">
        <v>0.58261710820686019</v>
      </c>
      <c r="G20" s="15">
        <v>0.46970000000000001</v>
      </c>
      <c r="I20" s="21"/>
    </row>
    <row r="21" spans="1:9" x14ac:dyDescent="0.25">
      <c r="A21" s="17">
        <v>2022</v>
      </c>
      <c r="B21" s="15">
        <v>0.47664688074243483</v>
      </c>
      <c r="C21" s="15">
        <v>0.30117530589071662</v>
      </c>
      <c r="D21" s="15">
        <v>0.58438311453400971</v>
      </c>
      <c r="E21" s="15">
        <v>0.28821679530659083</v>
      </c>
      <c r="F21" s="15">
        <v>-0.61455105303673296</v>
      </c>
      <c r="G21" s="15">
        <v>0.2072</v>
      </c>
      <c r="I21" s="21"/>
    </row>
    <row r="22" spans="1:9" x14ac:dyDescent="0.25">
      <c r="A22" s="17">
        <v>2023</v>
      </c>
      <c r="B22" s="15">
        <v>0.47628706766397361</v>
      </c>
      <c r="C22" s="15">
        <v>0.28141707655839338</v>
      </c>
      <c r="D22" s="15">
        <v>0.61014925373134332</v>
      </c>
      <c r="E22" s="15">
        <v>0.31975899952722936</v>
      </c>
      <c r="F22" s="15">
        <v>0.88861966546818816</v>
      </c>
      <c r="G22" s="15">
        <v>0.51519999999999999</v>
      </c>
      <c r="I22" s="21"/>
    </row>
    <row r="23" spans="1:9" x14ac:dyDescent="0.25">
      <c r="A23" s="17">
        <v>2024</v>
      </c>
      <c r="B23" s="15">
        <v>0.49179297887379253</v>
      </c>
      <c r="C23" s="15">
        <v>0.2897842066446647</v>
      </c>
      <c r="D23" s="15">
        <v>0.56570133226329045</v>
      </c>
      <c r="E23" s="15">
        <v>0.32834840102209223</v>
      </c>
      <c r="F23" s="15">
        <v>0.46653294943547602</v>
      </c>
      <c r="G23" s="15">
        <v>0.4284</v>
      </c>
      <c r="I23" s="21"/>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F9528-03FC-4E83-99FB-06F614937C4D}">
  <dimension ref="A3:G23"/>
  <sheetViews>
    <sheetView zoomScale="73" workbookViewId="0">
      <selection activeCell="A16" sqref="A16:G23"/>
    </sheetView>
  </sheetViews>
  <sheetFormatPr defaultRowHeight="15" x14ac:dyDescent="0.25"/>
  <cols>
    <col min="1" max="1" width="20.85546875" bestFit="1" customWidth="1"/>
    <col min="2" max="2" width="17.5703125" bestFit="1" customWidth="1"/>
    <col min="3" max="5" width="7" bestFit="1" customWidth="1"/>
    <col min="6" max="6" width="8.140625" bestFit="1" customWidth="1"/>
    <col min="7" max="7" width="11.7109375" bestFit="1" customWidth="1"/>
  </cols>
  <sheetData>
    <row r="3" spans="1:7" x14ac:dyDescent="0.25">
      <c r="A3" s="16" t="s">
        <v>88</v>
      </c>
      <c r="B3" s="16" t="s">
        <v>77</v>
      </c>
    </row>
    <row r="4" spans="1:7" x14ac:dyDescent="0.25">
      <c r="A4" s="16" t="s">
        <v>75</v>
      </c>
      <c r="B4" t="s">
        <v>28</v>
      </c>
      <c r="C4" t="s">
        <v>12</v>
      </c>
      <c r="D4" t="s">
        <v>29</v>
      </c>
      <c r="E4" t="s">
        <v>20</v>
      </c>
      <c r="F4" t="s">
        <v>30</v>
      </c>
      <c r="G4" t="s">
        <v>76</v>
      </c>
    </row>
    <row r="5" spans="1:7" x14ac:dyDescent="0.25">
      <c r="A5" s="17">
        <v>2018</v>
      </c>
      <c r="B5" s="25">
        <v>4.4373348929730015E-2</v>
      </c>
      <c r="C5" s="25">
        <v>3.5623670296660692E-2</v>
      </c>
      <c r="D5" s="25">
        <v>4.5295676888903718E-3</v>
      </c>
      <c r="E5" s="25">
        <v>3.0999995950863536E-2</v>
      </c>
      <c r="F5" s="25">
        <v>3.2177288093151374E-2</v>
      </c>
      <c r="G5" s="25">
        <v>2.9540774191859197E-2</v>
      </c>
    </row>
    <row r="6" spans="1:7" x14ac:dyDescent="0.25">
      <c r="A6" s="17">
        <v>2019</v>
      </c>
      <c r="B6" s="25">
        <v>5.3545029182480719E-2</v>
      </c>
      <c r="C6" s="25">
        <v>2.1932961156486592E-2</v>
      </c>
      <c r="D6" s="25">
        <v>4.4341415899075108E-3</v>
      </c>
      <c r="E6" s="25">
        <v>2.7000016980000322E-2</v>
      </c>
      <c r="F6" s="25">
        <v>3.9430533975510537E-2</v>
      </c>
      <c r="G6" s="25">
        <v>2.9268536576877134E-2</v>
      </c>
    </row>
    <row r="7" spans="1:7" x14ac:dyDescent="0.25">
      <c r="A7" s="17">
        <v>2020</v>
      </c>
      <c r="B7" s="25">
        <v>7.5323385252942382E-2</v>
      </c>
      <c r="C7" s="25">
        <v>3.9717726983378734E-2</v>
      </c>
      <c r="D7" s="25">
        <v>1.1491233154886229E-2</v>
      </c>
      <c r="E7" s="25">
        <v>4.6999986513614832E-2</v>
      </c>
      <c r="F7" s="25">
        <v>2.8643281820611027E-2</v>
      </c>
      <c r="G7" s="25">
        <v>4.0435122745086635E-2</v>
      </c>
    </row>
    <row r="8" spans="1:7" x14ac:dyDescent="0.25">
      <c r="A8" s="17">
        <v>2021</v>
      </c>
      <c r="B8" s="25">
        <v>4.7427451023850667E-2</v>
      </c>
      <c r="C8" s="25">
        <v>2.5781325049450486E-2</v>
      </c>
      <c r="D8" s="25">
        <v>1.6477374697275123E-2</v>
      </c>
      <c r="E8" s="25">
        <v>2.3999983957111698E-2</v>
      </c>
      <c r="F8" s="25">
        <v>2.6309514246480203E-2</v>
      </c>
      <c r="G8" s="25">
        <v>2.7999129794833634E-2</v>
      </c>
    </row>
    <row r="9" spans="1:7" x14ac:dyDescent="0.25">
      <c r="A9" s="17">
        <v>2022</v>
      </c>
      <c r="B9" s="25">
        <v>3.9117665084221591E-2</v>
      </c>
      <c r="C9" s="25">
        <v>2.763274334469655E-2</v>
      </c>
      <c r="D9" s="25">
        <v>9.7720632905248864E-3</v>
      </c>
      <c r="E9" s="25">
        <v>2.1999995968030064E-2</v>
      </c>
      <c r="F9" s="25">
        <v>0.18244778541033663</v>
      </c>
      <c r="G9" s="25">
        <v>5.6194050619561939E-2</v>
      </c>
    </row>
    <row r="10" spans="1:7" x14ac:dyDescent="0.25">
      <c r="A10" s="17">
        <v>2023</v>
      </c>
      <c r="B10" s="25">
        <v>3.7015405410966602E-2</v>
      </c>
      <c r="C10" s="25">
        <v>2.2148183195887423E-2</v>
      </c>
      <c r="D10" s="25">
        <v>9.7530937963094186E-3</v>
      </c>
      <c r="E10" s="25">
        <v>2.000000093999323E-2</v>
      </c>
      <c r="F10" s="25">
        <v>0.25560925997214973</v>
      </c>
      <c r="G10" s="25">
        <v>6.8905188663061279E-2</v>
      </c>
    </row>
    <row r="11" spans="1:7" x14ac:dyDescent="0.25">
      <c r="A11" s="17">
        <v>2024</v>
      </c>
      <c r="B11" s="25">
        <v>3.320656071139625E-2</v>
      </c>
      <c r="C11" s="25">
        <v>2.3015685356968612E-2</v>
      </c>
      <c r="D11" s="25">
        <v>8.0391131961413832E-3</v>
      </c>
      <c r="E11" s="25">
        <v>2.2000001712916151E-2</v>
      </c>
      <c r="F11" s="25">
        <v>0.58546942794719514</v>
      </c>
      <c r="G11" s="25">
        <v>0.13434615778492351</v>
      </c>
    </row>
    <row r="12" spans="1:7" x14ac:dyDescent="0.25">
      <c r="A12" s="17" t="s">
        <v>76</v>
      </c>
      <c r="B12" s="25">
        <v>4.7144120799369749E-2</v>
      </c>
      <c r="C12" s="25">
        <v>2.7978899340504158E-2</v>
      </c>
      <c r="D12" s="25">
        <v>9.2137982019907024E-3</v>
      </c>
      <c r="E12" s="25">
        <v>2.757142600321855E-2</v>
      </c>
      <c r="F12" s="25">
        <v>0.16429815592363353</v>
      </c>
      <c r="G12" s="25">
        <v>5.5241280053743333E-2</v>
      </c>
    </row>
    <row r="16" spans="1:7" x14ac:dyDescent="0.25">
      <c r="A16" s="18" t="s">
        <v>75</v>
      </c>
      <c r="B16" s="18" t="s">
        <v>28</v>
      </c>
      <c r="C16" s="18" t="s">
        <v>12</v>
      </c>
      <c r="D16" s="18" t="s">
        <v>29</v>
      </c>
      <c r="E16" s="18" t="s">
        <v>20</v>
      </c>
      <c r="F16" s="18" t="s">
        <v>30</v>
      </c>
      <c r="G16" s="19" t="s">
        <v>78</v>
      </c>
    </row>
    <row r="17" spans="1:7" x14ac:dyDescent="0.25">
      <c r="A17" s="17">
        <v>2018</v>
      </c>
      <c r="B17" s="15">
        <v>4.4373348929730015E-2</v>
      </c>
      <c r="C17" s="15">
        <v>3.5623670296660692E-2</v>
      </c>
      <c r="D17" s="15">
        <v>4.5295676888903718E-3</v>
      </c>
      <c r="E17" s="15">
        <v>3.0999995950863536E-2</v>
      </c>
      <c r="F17" s="15">
        <v>3.2177288093151374E-2</v>
      </c>
      <c r="G17" s="15">
        <v>2.9499999999999998E-2</v>
      </c>
    </row>
    <row r="18" spans="1:7" x14ac:dyDescent="0.25">
      <c r="A18" s="17">
        <v>2019</v>
      </c>
      <c r="B18" s="15">
        <v>5.3545029182480719E-2</v>
      </c>
      <c r="C18" s="15">
        <v>2.1932961156486592E-2</v>
      </c>
      <c r="D18" s="15">
        <v>4.4341415899075108E-3</v>
      </c>
      <c r="E18" s="15">
        <v>2.7000016980000322E-2</v>
      </c>
      <c r="F18" s="15">
        <v>3.9430533975510537E-2</v>
      </c>
      <c r="G18" s="15">
        <v>2.93E-2</v>
      </c>
    </row>
    <row r="19" spans="1:7" x14ac:dyDescent="0.25">
      <c r="A19" s="17">
        <v>2020</v>
      </c>
      <c r="B19" s="15">
        <v>7.5323385252942382E-2</v>
      </c>
      <c r="C19" s="15">
        <v>3.9717726983378734E-2</v>
      </c>
      <c r="D19" s="15">
        <v>1.1491233154886229E-2</v>
      </c>
      <c r="E19" s="15">
        <v>4.6999986513614832E-2</v>
      </c>
      <c r="F19" s="15">
        <v>2.8643281820611027E-2</v>
      </c>
      <c r="G19" s="15">
        <v>4.0399999999999998E-2</v>
      </c>
    </row>
    <row r="20" spans="1:7" x14ac:dyDescent="0.25">
      <c r="A20" s="17">
        <v>2021</v>
      </c>
      <c r="B20" s="15">
        <v>4.7427451023850667E-2</v>
      </c>
      <c r="C20" s="15">
        <v>2.5781325049450486E-2</v>
      </c>
      <c r="D20" s="15">
        <v>1.6477374697275123E-2</v>
      </c>
      <c r="E20" s="15">
        <v>2.3999983957111698E-2</v>
      </c>
      <c r="F20" s="15">
        <v>2.6309514246480203E-2</v>
      </c>
      <c r="G20" s="15">
        <v>2.8000000000000001E-2</v>
      </c>
    </row>
    <row r="21" spans="1:7" x14ac:dyDescent="0.25">
      <c r="A21" s="17">
        <v>2022</v>
      </c>
      <c r="B21" s="15">
        <v>3.9117665084221591E-2</v>
      </c>
      <c r="C21" s="15">
        <v>2.763274334469655E-2</v>
      </c>
      <c r="D21" s="15">
        <v>9.7720632905248864E-3</v>
      </c>
      <c r="E21" s="15">
        <v>2.1999995968030064E-2</v>
      </c>
      <c r="F21" s="15">
        <v>0.18244778541033663</v>
      </c>
      <c r="G21" s="15">
        <v>5.62E-2</v>
      </c>
    </row>
    <row r="22" spans="1:7" x14ac:dyDescent="0.25">
      <c r="A22" s="17">
        <v>2023</v>
      </c>
      <c r="B22" s="15">
        <v>3.7015405410966602E-2</v>
      </c>
      <c r="C22" s="15">
        <v>2.2148183195887423E-2</v>
      </c>
      <c r="D22" s="15">
        <v>9.7530937963094186E-3</v>
      </c>
      <c r="E22" s="15">
        <v>2.000000093999323E-2</v>
      </c>
      <c r="F22" s="15">
        <v>0.25560925997214973</v>
      </c>
      <c r="G22" s="15">
        <v>6.8900000000000003E-2</v>
      </c>
    </row>
    <row r="23" spans="1:7" x14ac:dyDescent="0.25">
      <c r="A23" s="17">
        <v>2024</v>
      </c>
      <c r="B23" s="15">
        <v>3.320656071139625E-2</v>
      </c>
      <c r="C23" s="15">
        <v>2.3015685356968612E-2</v>
      </c>
      <c r="D23" s="15">
        <v>8.0391131961413832E-3</v>
      </c>
      <c r="E23" s="15">
        <v>2.2000001712916151E-2</v>
      </c>
      <c r="F23" s="15">
        <v>0.58546942794719514</v>
      </c>
      <c r="G23" s="15">
        <v>0.1343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5596-0B74-4C58-ADE8-FE512CE73BD6}">
  <dimension ref="A3:G24"/>
  <sheetViews>
    <sheetView topLeftCell="A2" zoomScale="73" workbookViewId="0">
      <selection activeCell="A17" sqref="A17:G24"/>
    </sheetView>
  </sheetViews>
  <sheetFormatPr defaultRowHeight="15" x14ac:dyDescent="0.25"/>
  <cols>
    <col min="1" max="1" width="29.28515625" bestFit="1" customWidth="1"/>
    <col min="2" max="2" width="17.5703125" bestFit="1" customWidth="1"/>
    <col min="3" max="6" width="8.140625" bestFit="1" customWidth="1"/>
    <col min="7" max="7" width="11.7109375" bestFit="1" customWidth="1"/>
  </cols>
  <sheetData>
    <row r="3" spans="1:7" x14ac:dyDescent="0.25">
      <c r="A3" s="16" t="s">
        <v>89</v>
      </c>
      <c r="B3" s="16" t="s">
        <v>77</v>
      </c>
    </row>
    <row r="4" spans="1:7" x14ac:dyDescent="0.25">
      <c r="A4" s="16" t="s">
        <v>75</v>
      </c>
      <c r="B4" t="s">
        <v>28</v>
      </c>
      <c r="C4" t="s">
        <v>12</v>
      </c>
      <c r="D4" t="s">
        <v>29</v>
      </c>
      <c r="E4" t="s">
        <v>20</v>
      </c>
      <c r="F4" t="s">
        <v>30</v>
      </c>
      <c r="G4" t="s">
        <v>76</v>
      </c>
    </row>
    <row r="5" spans="1:7" x14ac:dyDescent="0.25">
      <c r="A5" s="17">
        <v>2018</v>
      </c>
      <c r="B5" s="25">
        <v>0.34357605883506304</v>
      </c>
      <c r="C5" s="25">
        <v>0.34744472900998785</v>
      </c>
      <c r="D5" s="25">
        <v>0.49539392589025488</v>
      </c>
      <c r="E5" s="25">
        <v>0.36535930183515469</v>
      </c>
      <c r="F5" s="25">
        <v>0.34702598765251397</v>
      </c>
      <c r="G5" s="25">
        <v>0.37976000064459486</v>
      </c>
    </row>
    <row r="6" spans="1:7" x14ac:dyDescent="0.25">
      <c r="A6" s="17">
        <v>2019</v>
      </c>
      <c r="B6" s="25">
        <v>0.31894295345876017</v>
      </c>
      <c r="C6" s="25">
        <v>0.36006522398978774</v>
      </c>
      <c r="D6" s="25">
        <v>0.47342173819364192</v>
      </c>
      <c r="E6" s="25">
        <v>0.37506339695847446</v>
      </c>
      <c r="F6" s="25">
        <v>0.35536410570890109</v>
      </c>
      <c r="G6" s="25">
        <v>0.37657148366191306</v>
      </c>
    </row>
    <row r="7" spans="1:7" x14ac:dyDescent="0.25">
      <c r="A7" s="17">
        <v>2020</v>
      </c>
      <c r="B7" s="25">
        <v>0.29215391349329511</v>
      </c>
      <c r="C7" s="25">
        <v>0.35684428498598791</v>
      </c>
      <c r="D7" s="25">
        <v>0.45311274123553941</v>
      </c>
      <c r="E7" s="25">
        <v>0.37342583007047192</v>
      </c>
      <c r="F7" s="25">
        <v>0.37596620465002628</v>
      </c>
      <c r="G7" s="25">
        <v>0.37030059488706407</v>
      </c>
    </row>
    <row r="8" spans="1:7" x14ac:dyDescent="0.25">
      <c r="A8" s="17">
        <v>2021</v>
      </c>
      <c r="B8" s="25">
        <v>0.31595597441177753</v>
      </c>
      <c r="C8" s="25">
        <v>0.36236605075531858</v>
      </c>
      <c r="D8" s="25">
        <v>0.47910346728703501</v>
      </c>
      <c r="E8" s="25">
        <v>0.36509711753232893</v>
      </c>
      <c r="F8" s="25">
        <v>0.3626191825060609</v>
      </c>
      <c r="G8" s="25">
        <v>0.37702835849850425</v>
      </c>
    </row>
    <row r="9" spans="1:7" x14ac:dyDescent="0.25">
      <c r="A9" s="17">
        <v>2022</v>
      </c>
      <c r="B9" s="25">
        <v>0.41429289896045429</v>
      </c>
      <c r="C9" s="25">
        <v>0.3314507939040065</v>
      </c>
      <c r="D9" s="25">
        <v>0.45466890920338793</v>
      </c>
      <c r="E9" s="25">
        <v>0.34099255273998375</v>
      </c>
      <c r="F9" s="25">
        <v>9.8082134859481931E-2</v>
      </c>
      <c r="G9" s="25">
        <v>0.32789745793346292</v>
      </c>
    </row>
    <row r="10" spans="1:7" x14ac:dyDescent="0.25">
      <c r="A10" s="17">
        <v>2023</v>
      </c>
      <c r="B10" s="25">
        <v>0.37185755145559468</v>
      </c>
      <c r="C10" s="25">
        <v>0.34322798041698249</v>
      </c>
      <c r="D10" s="25">
        <v>0.43481409672145049</v>
      </c>
      <c r="E10" s="25">
        <v>0.35402158590430044</v>
      </c>
      <c r="F10" s="25">
        <v>0.224009973458761</v>
      </c>
      <c r="G10" s="25">
        <v>0.34558623759141782</v>
      </c>
    </row>
    <row r="11" spans="1:7" x14ac:dyDescent="0.25">
      <c r="A11" s="17">
        <v>2024</v>
      </c>
      <c r="B11" s="25">
        <v>0.38547545298877517</v>
      </c>
      <c r="C11" s="25">
        <v>0.34274342240431438</v>
      </c>
      <c r="D11" s="25">
        <v>0.45905204398547106</v>
      </c>
      <c r="E11" s="25">
        <v>0.35317371803065306</v>
      </c>
      <c r="F11" s="25">
        <v>0.21581171511994704</v>
      </c>
      <c r="G11" s="25">
        <v>0.35125127050583216</v>
      </c>
    </row>
    <row r="12" spans="1:7" x14ac:dyDescent="0.25">
      <c r="A12" s="17" t="s">
        <v>76</v>
      </c>
      <c r="B12" s="25">
        <v>0.34889354337195994</v>
      </c>
      <c r="C12" s="25">
        <v>0.34916321220948365</v>
      </c>
      <c r="D12" s="25">
        <v>0.46422384607382583</v>
      </c>
      <c r="E12" s="25">
        <v>0.36101907186733817</v>
      </c>
      <c r="F12" s="25">
        <v>0.28269704342224178</v>
      </c>
      <c r="G12" s="25">
        <v>0.36119934338896986</v>
      </c>
    </row>
    <row r="17" spans="1:7" x14ac:dyDescent="0.25">
      <c r="A17" s="18" t="s">
        <v>75</v>
      </c>
      <c r="B17" s="18" t="s">
        <v>28</v>
      </c>
      <c r="C17" s="18" t="s">
        <v>12</v>
      </c>
      <c r="D17" s="18" t="s">
        <v>29</v>
      </c>
      <c r="E17" s="18" t="s">
        <v>20</v>
      </c>
      <c r="F17" s="18" t="s">
        <v>30</v>
      </c>
      <c r="G17" s="19" t="s">
        <v>78</v>
      </c>
    </row>
    <row r="18" spans="1:7" x14ac:dyDescent="0.25">
      <c r="A18" s="17">
        <v>2018</v>
      </c>
      <c r="B18" s="15">
        <v>0.34357605883506304</v>
      </c>
      <c r="C18" s="15">
        <v>0.34744472900998785</v>
      </c>
      <c r="D18" s="15">
        <v>0.49539392589025488</v>
      </c>
      <c r="E18" s="15">
        <v>0.36535930183515469</v>
      </c>
      <c r="F18" s="15">
        <v>0.34702598765251397</v>
      </c>
      <c r="G18" s="15">
        <v>0.37980000000000003</v>
      </c>
    </row>
    <row r="19" spans="1:7" x14ac:dyDescent="0.25">
      <c r="A19" s="17">
        <v>2019</v>
      </c>
      <c r="B19" s="15">
        <v>0.31894295345876017</v>
      </c>
      <c r="C19" s="15">
        <v>0.36006522398978774</v>
      </c>
      <c r="D19" s="15">
        <v>0.47342173819364192</v>
      </c>
      <c r="E19" s="15">
        <v>0.37506339695847446</v>
      </c>
      <c r="F19" s="15">
        <v>0.35536410570890109</v>
      </c>
      <c r="G19" s="15">
        <v>0.37659999999999999</v>
      </c>
    </row>
    <row r="20" spans="1:7" x14ac:dyDescent="0.25">
      <c r="A20" s="17">
        <v>2020</v>
      </c>
      <c r="B20" s="15">
        <v>0.29215391349329511</v>
      </c>
      <c r="C20" s="15">
        <v>0.35684428498598791</v>
      </c>
      <c r="D20" s="15">
        <v>0.45311274123553941</v>
      </c>
      <c r="E20" s="15">
        <v>0.37342583007047192</v>
      </c>
      <c r="F20" s="15">
        <v>0.37596620465002628</v>
      </c>
      <c r="G20" s="15">
        <v>0.37030000000000002</v>
      </c>
    </row>
    <row r="21" spans="1:7" x14ac:dyDescent="0.25">
      <c r="A21" s="17">
        <v>2021</v>
      </c>
      <c r="B21" s="15">
        <v>0.31595597441177753</v>
      </c>
      <c r="C21" s="15">
        <v>0.36236605075531858</v>
      </c>
      <c r="D21" s="15">
        <v>0.47910346728703501</v>
      </c>
      <c r="E21" s="15">
        <v>0.36509711753232893</v>
      </c>
      <c r="F21" s="15">
        <v>0.3626191825060609</v>
      </c>
      <c r="G21" s="15">
        <v>0.377</v>
      </c>
    </row>
    <row r="22" spans="1:7" x14ac:dyDescent="0.25">
      <c r="A22" s="17">
        <v>2022</v>
      </c>
      <c r="B22" s="15">
        <v>0.41429289896045429</v>
      </c>
      <c r="C22" s="15">
        <v>0.3314507939040065</v>
      </c>
      <c r="D22" s="15">
        <v>0.45466890920338793</v>
      </c>
      <c r="E22" s="15">
        <v>0.34099255273998375</v>
      </c>
      <c r="F22" s="15">
        <v>9.8082134859481931E-2</v>
      </c>
      <c r="G22" s="15">
        <v>0.32790000000000002</v>
      </c>
    </row>
    <row r="23" spans="1:7" x14ac:dyDescent="0.25">
      <c r="A23" s="17">
        <v>2023</v>
      </c>
      <c r="B23" s="15">
        <v>0.37185755145559468</v>
      </c>
      <c r="C23" s="15">
        <v>0.34322798041698249</v>
      </c>
      <c r="D23" s="15">
        <v>0.43481409672145049</v>
      </c>
      <c r="E23" s="15">
        <v>0.35402158590430044</v>
      </c>
      <c r="F23" s="15">
        <v>0.224009973458761</v>
      </c>
      <c r="G23" s="15">
        <v>0.34560000000000002</v>
      </c>
    </row>
    <row r="24" spans="1:7" x14ac:dyDescent="0.25">
      <c r="A24" s="17">
        <v>2024</v>
      </c>
      <c r="B24" s="15">
        <v>0.38547545298877517</v>
      </c>
      <c r="C24" s="15">
        <v>0.34274342240431438</v>
      </c>
      <c r="D24" s="15">
        <v>0.45905204398547106</v>
      </c>
      <c r="E24" s="15">
        <v>0.35317371803065306</v>
      </c>
      <c r="F24" s="15">
        <v>0.21581171511994704</v>
      </c>
      <c r="G24" s="15">
        <v>0.3513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530B-CA06-4815-A1C9-522B44DD91D1}">
  <dimension ref="A3:G22"/>
  <sheetViews>
    <sheetView topLeftCell="F1" zoomScale="66" workbookViewId="0">
      <selection activeCell="A15" sqref="A15:G22"/>
    </sheetView>
  </sheetViews>
  <sheetFormatPr defaultRowHeight="15" x14ac:dyDescent="0.25"/>
  <cols>
    <col min="1" max="1" width="26.5703125" bestFit="1" customWidth="1"/>
    <col min="2" max="2" width="16.42578125" bestFit="1" customWidth="1"/>
    <col min="3" max="7" width="12.5703125" bestFit="1" customWidth="1"/>
  </cols>
  <sheetData>
    <row r="3" spans="1:7" x14ac:dyDescent="0.25">
      <c r="A3" s="16" t="s">
        <v>83</v>
      </c>
      <c r="B3" s="16" t="s">
        <v>77</v>
      </c>
    </row>
    <row r="4" spans="1:7" x14ac:dyDescent="0.25">
      <c r="A4" s="16" t="s">
        <v>75</v>
      </c>
      <c r="B4" t="s">
        <v>28</v>
      </c>
      <c r="C4" t="s">
        <v>12</v>
      </c>
      <c r="D4" t="s">
        <v>29</v>
      </c>
      <c r="E4" t="s">
        <v>20</v>
      </c>
      <c r="F4" t="s">
        <v>30</v>
      </c>
      <c r="G4" t="s">
        <v>76</v>
      </c>
    </row>
    <row r="5" spans="1:7" x14ac:dyDescent="0.25">
      <c r="A5" s="17">
        <v>2018</v>
      </c>
      <c r="B5" s="20">
        <v>5.7607882943685542</v>
      </c>
      <c r="C5" s="20">
        <v>8.4484129367835816</v>
      </c>
      <c r="D5" s="20">
        <v>5.5664400852980833</v>
      </c>
      <c r="E5" s="20">
        <v>7.1689982043468898</v>
      </c>
      <c r="F5" s="20">
        <v>6.7206530135502591</v>
      </c>
      <c r="G5" s="20">
        <v>6.7330585068694742</v>
      </c>
    </row>
    <row r="6" spans="1:7" x14ac:dyDescent="0.25">
      <c r="A6" s="17">
        <v>2019</v>
      </c>
      <c r="B6" s="20">
        <v>5.8830958865056679</v>
      </c>
      <c r="C6" s="20">
        <v>8.624775333635295</v>
      </c>
      <c r="D6" s="20">
        <v>6.3326599684581719</v>
      </c>
      <c r="E6" s="20">
        <v>7.2703232304655119</v>
      </c>
      <c r="F6" s="20">
        <v>6.1997486434356768</v>
      </c>
      <c r="G6" s="20">
        <v>6.8621206125000658</v>
      </c>
    </row>
    <row r="7" spans="1:7" x14ac:dyDescent="0.25">
      <c r="A7" s="17">
        <v>2020</v>
      </c>
      <c r="B7" s="20">
        <v>6.3619778305835339</v>
      </c>
      <c r="C7" s="20">
        <v>8.7810314613519029</v>
      </c>
      <c r="D7" s="20">
        <v>7.4624153563096298</v>
      </c>
      <c r="E7" s="20">
        <v>7.5916477212326248</v>
      </c>
      <c r="F7" s="20">
        <v>6.4499870065439771</v>
      </c>
      <c r="G7" s="20">
        <v>7.3294118752043333</v>
      </c>
    </row>
    <row r="8" spans="1:7" x14ac:dyDescent="0.25">
      <c r="A8" s="17">
        <v>2021</v>
      </c>
      <c r="B8" s="20">
        <v>6.0554782332139423</v>
      </c>
      <c r="C8" s="20">
        <v>8.1107196413842857</v>
      </c>
      <c r="D8" s="20">
        <v>8.0042789129498981</v>
      </c>
      <c r="E8" s="20">
        <v>7.2331424005507587</v>
      </c>
      <c r="F8" s="20">
        <v>6.1017786492118606</v>
      </c>
      <c r="G8" s="20">
        <v>7.1010795674621487</v>
      </c>
    </row>
    <row r="9" spans="1:7" x14ac:dyDescent="0.25">
      <c r="A9" s="17">
        <v>2022</v>
      </c>
      <c r="B9" s="20">
        <v>6.3533421270438861</v>
      </c>
      <c r="C9" s="20">
        <v>8.8254631982271068</v>
      </c>
      <c r="D9" s="20">
        <v>8.0655772248283082</v>
      </c>
      <c r="E9" s="20">
        <v>6.6661755681143378</v>
      </c>
      <c r="F9" s="20">
        <v>3.7366882272213591</v>
      </c>
      <c r="G9" s="20">
        <v>6.7294492690870005</v>
      </c>
    </row>
    <row r="10" spans="1:7" x14ac:dyDescent="0.25">
      <c r="A10" s="17">
        <v>2023</v>
      </c>
      <c r="B10" s="20">
        <v>6.9730080246413229</v>
      </c>
      <c r="C10" s="20">
        <v>7.2530812249117593</v>
      </c>
      <c r="D10" s="20">
        <v>8.1505349811522834</v>
      </c>
      <c r="E10" s="20">
        <v>6.6677841742246722</v>
      </c>
      <c r="F10" s="20">
        <v>1.462421724901368</v>
      </c>
      <c r="G10" s="20">
        <v>6.1013660259662812</v>
      </c>
    </row>
    <row r="11" spans="1:7" x14ac:dyDescent="0.25">
      <c r="A11" s="17">
        <v>2024</v>
      </c>
      <c r="B11" s="20">
        <v>6.6539823684178581</v>
      </c>
      <c r="C11" s="20">
        <v>7.0088704759947582</v>
      </c>
      <c r="D11" s="20">
        <v>8.0913715224009675</v>
      </c>
      <c r="E11" s="20">
        <v>6.8048191538223133</v>
      </c>
      <c r="F11" s="20">
        <v>1.3858722579200304</v>
      </c>
      <c r="G11" s="20">
        <v>5.9889831557111854</v>
      </c>
    </row>
    <row r="12" spans="1:7" x14ac:dyDescent="0.25">
      <c r="A12" s="17" t="s">
        <v>76</v>
      </c>
      <c r="B12" s="20">
        <v>6.2916675378249662</v>
      </c>
      <c r="C12" s="20">
        <v>8.1503363246126685</v>
      </c>
      <c r="D12" s="20">
        <v>7.3818968644853351</v>
      </c>
      <c r="E12" s="20">
        <v>7.0575557789653018</v>
      </c>
      <c r="F12" s="20">
        <v>4.5795927889692178</v>
      </c>
      <c r="G12" s="20">
        <v>6.6922098589714984</v>
      </c>
    </row>
    <row r="15" spans="1:7" x14ac:dyDescent="0.25">
      <c r="A15" s="18" t="s">
        <v>75</v>
      </c>
      <c r="B15" s="18" t="s">
        <v>28</v>
      </c>
      <c r="C15" s="18" t="s">
        <v>12</v>
      </c>
      <c r="D15" s="18" t="s">
        <v>29</v>
      </c>
      <c r="E15" s="18" t="s">
        <v>20</v>
      </c>
      <c r="F15" s="18" t="s">
        <v>30</v>
      </c>
      <c r="G15" s="1" t="s">
        <v>78</v>
      </c>
    </row>
    <row r="16" spans="1:7" x14ac:dyDescent="0.25">
      <c r="A16" s="17">
        <v>2018</v>
      </c>
      <c r="B16" s="20">
        <v>5.7607882943685542</v>
      </c>
      <c r="C16" s="20">
        <v>8.4484129367835816</v>
      </c>
      <c r="D16" s="20">
        <v>5.5664400852980833</v>
      </c>
      <c r="E16" s="20">
        <v>7.1689982043468898</v>
      </c>
      <c r="F16" s="20">
        <v>6.7206530135502591</v>
      </c>
      <c r="G16" s="24">
        <v>6.73</v>
      </c>
    </row>
    <row r="17" spans="1:7" x14ac:dyDescent="0.25">
      <c r="A17" s="17">
        <v>2019</v>
      </c>
      <c r="B17" s="20">
        <v>5.8830958865056679</v>
      </c>
      <c r="C17" s="20">
        <v>8.624775333635295</v>
      </c>
      <c r="D17" s="20">
        <v>6.3326599684581719</v>
      </c>
      <c r="E17" s="20">
        <v>7.2703232304655119</v>
      </c>
      <c r="F17" s="20">
        <v>6.1997486434356768</v>
      </c>
      <c r="G17" s="24">
        <v>6.86</v>
      </c>
    </row>
    <row r="18" spans="1:7" x14ac:dyDescent="0.25">
      <c r="A18" s="17">
        <v>2020</v>
      </c>
      <c r="B18" s="20">
        <v>6.3619778305835339</v>
      </c>
      <c r="C18" s="20">
        <v>8.7810314613519029</v>
      </c>
      <c r="D18" s="20">
        <v>7.4624153563096298</v>
      </c>
      <c r="E18" s="20">
        <v>7.5916477212326248</v>
      </c>
      <c r="F18" s="20">
        <v>6.4499870065439771</v>
      </c>
      <c r="G18" s="24">
        <v>7.33</v>
      </c>
    </row>
    <row r="19" spans="1:7" x14ac:dyDescent="0.25">
      <c r="A19" s="17">
        <v>2021</v>
      </c>
      <c r="B19" s="20">
        <v>6.0554782332139423</v>
      </c>
      <c r="C19" s="20">
        <v>8.1107196413842857</v>
      </c>
      <c r="D19" s="20">
        <v>8.0042789129498981</v>
      </c>
      <c r="E19" s="20">
        <v>7.2331424005507587</v>
      </c>
      <c r="F19" s="20">
        <v>6.1017786492118606</v>
      </c>
      <c r="G19" s="24">
        <v>7.1</v>
      </c>
    </row>
    <row r="20" spans="1:7" x14ac:dyDescent="0.25">
      <c r="A20" s="17">
        <v>2022</v>
      </c>
      <c r="B20" s="20">
        <v>6.3533421270438861</v>
      </c>
      <c r="C20" s="20">
        <v>8.8254631982271068</v>
      </c>
      <c r="D20" s="20">
        <v>8.0655772248283082</v>
      </c>
      <c r="E20" s="20">
        <v>6.6661755681143378</v>
      </c>
      <c r="F20" s="20">
        <v>3.7366882272213591</v>
      </c>
      <c r="G20" s="24">
        <v>6.73</v>
      </c>
    </row>
    <row r="21" spans="1:7" x14ac:dyDescent="0.25">
      <c r="A21" s="17">
        <v>2023</v>
      </c>
      <c r="B21" s="20">
        <v>6.9730080246413229</v>
      </c>
      <c r="C21" s="20">
        <v>7.2530812249117593</v>
      </c>
      <c r="D21" s="20">
        <v>8.1505349811522834</v>
      </c>
      <c r="E21" s="20">
        <v>6.6677841742246722</v>
      </c>
      <c r="F21" s="20">
        <v>1.462421724901368</v>
      </c>
      <c r="G21" s="24">
        <v>6.1</v>
      </c>
    </row>
    <row r="22" spans="1:7" x14ac:dyDescent="0.25">
      <c r="A22" s="17">
        <v>2024</v>
      </c>
      <c r="B22" s="20">
        <v>6.6539823684178581</v>
      </c>
      <c r="C22" s="20">
        <v>7.0088704759947582</v>
      </c>
      <c r="D22" s="20">
        <v>8.0913715224009675</v>
      </c>
      <c r="E22" s="20">
        <v>6.8048191538223133</v>
      </c>
      <c r="F22" s="20">
        <v>1.3858722579200304</v>
      </c>
      <c r="G22" s="24">
        <v>5.99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Raw_Data</vt:lpstr>
      <vt:lpstr>Net Profit Growth</vt:lpstr>
      <vt:lpstr>Calculated_Ratios</vt:lpstr>
      <vt:lpstr>Industry Benchmark Analysis</vt:lpstr>
      <vt:lpstr>ROA Trend</vt:lpstr>
      <vt:lpstr>Benchmark Difference Table</vt:lpstr>
      <vt:lpstr>Industry Comparison Charts</vt:lpstr>
      <vt:lpstr>Economic Phase Analysis</vt:lpstr>
      <vt:lpstr>Sheet2</vt:lpstr>
      <vt:lpstr>Covid Resilience</vt:lpstr>
      <vt:lpstr>Correlation Analysis</vt:lpstr>
      <vt:lpstr>Key Findings</vt:lpstr>
      <vt:lpstr>Conclusions</vt:lpstr>
      <vt:lpstr>ROE Trend</vt:lpstr>
      <vt:lpstr>NIM_approx Trend</vt:lpstr>
      <vt:lpstr>CIR_Trend</vt:lpstr>
      <vt:lpstr>NPL Ratio Trend</vt:lpstr>
      <vt:lpstr>Loan-to-Asset Ratio Trend</vt:lpstr>
      <vt:lpstr>Equity Multiplier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Keta Bibichadze</dc:creator>
  <cp:lastModifiedBy>Keta Bibichadze</cp:lastModifiedBy>
  <dcterms:created xsi:type="dcterms:W3CDTF">2015-06-05T18:17:20Z</dcterms:created>
  <dcterms:modified xsi:type="dcterms:W3CDTF">2026-10-08T19:54:18Z</dcterms:modified>
</cp:coreProperties>
</file>